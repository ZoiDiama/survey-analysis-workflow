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-me" sheetId="1" state="visible" r:id="rId3"/>
    <sheet name="Decision log" sheetId="2" state="visible" r:id="rId4"/>
    <sheet name="Analysis plan" sheetId="3" state="visible" r:id="rId5"/>
    <sheet name="Indicator sheet" sheetId="4" state="visible" r:id="rId6"/>
    <sheet name="Data quality plan" sheetId="5" state="visible" r:id="rId7"/>
    <sheet name="Cleaning log" sheetId="6" state="visible" r:id="rId8"/>
    <sheet name="Validation" sheetId="7" state="visible" r:id="rId9"/>
    <sheet name="Disclosure checklist" sheetId="8" state="visible" r:id="rId10"/>
    <sheet name="Verification" sheetId="9" state="visible" r:id="rId11"/>
    <sheet name="Lis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<sst xmlns="http://schemas.openxmlformats.org/spreadsheetml/2006/main" count="353" uniqueCount="303">
  <si>
    <t xml:space="preserve">Survey analysis workflow: templates</t>
  </si>
  <si>
    <t xml:space="preserve">One workbook, one tab per output of the workflow. Use with the step pages in the repository survey-analysis-workflow.</t>
  </si>
  <si>
    <t xml:space="preserve">How to use</t>
  </si>
  <si>
    <t xml:space="preserve">Grey cells</t>
  </si>
  <si>
    <t xml:space="preserve">Fill in. Each table has 30 empty rows; insert more rows inside the table if needed.</t>
  </si>
  <si>
    <t xml:space="preserve">Orange row</t>
  </si>
  <si>
    <t xml:space="preserve">An example from the Sudan survey, showing the expected format. Overwrite or delete it.</t>
  </si>
  <si>
    <t xml:space="preserve">White cells in a table</t>
  </si>
  <si>
    <t xml:space="preserve">Formulas (Validation table and Verification tab). Do not type over them.</t>
  </si>
  <si>
    <t xml:space="preserve">Lists tab</t>
  </si>
  <si>
    <t xml:space="preserve">Drop-down options. Edit the lists there to fit your survey.</t>
  </si>
  <si>
    <t xml:space="preserve">Tab</t>
  </si>
  <si>
    <t xml:space="preserve">Workflow step and purpose</t>
  </si>
  <si>
    <t xml:space="preserve">Decision log</t>
  </si>
  <si>
    <t xml:space="preserve">All steps: what was decided, what else was considered, why</t>
  </si>
  <si>
    <t xml:space="preserve">Analysis plan</t>
  </si>
  <si>
    <t xml:space="preserve">Step 2: indicators, questions, denominators and disaggregation, fixed before seeing results</t>
  </si>
  <si>
    <t xml:space="preserve">Indicator sheet</t>
  </si>
  <si>
    <t xml:space="preserve">Step 2: one reference sheet per indicator (copy the tab for each indicator)</t>
  </si>
  <si>
    <t xml:space="preserve">Data quality plan</t>
  </si>
  <si>
    <t xml:space="preserve">Step 3: checks agreed in advance, results and decisions (the issue log)</t>
  </si>
  <si>
    <t xml:space="preserve">Cleaning log</t>
  </si>
  <si>
    <t xml:space="preserve">Step 4: every change made to the data, linked to a data quality decision</t>
  </si>
  <si>
    <t xml:space="preserve">Validation</t>
  </si>
  <si>
    <t xml:space="preserve">Step 6: published or other-source figures compared with your results</t>
  </si>
  <si>
    <t xml:space="preserve">Disclosure checklist</t>
  </si>
  <si>
    <t xml:space="preserve">Step 7: checks before publishing outputs</t>
  </si>
  <si>
    <t xml:space="preserve">Verification</t>
  </si>
  <si>
    <t xml:space="preserve">Step 8: key figures recounted independently before release</t>
  </si>
  <si>
    <t xml:space="preserve">Sources</t>
  </si>
  <si>
    <t xml:space="preserve">The Analysis plan tab builds on UNHCR's Data Analysis Plan template (UNHCR Assessment and Monitoring Resource Centre, https://www.unhcr.org/handbooks/assessment/), with columns added for denominators, comparability, standards, validation and limitations, and the responsibility and deadline columns of the Joint Assessment Framework analysis plan.</t>
  </si>
  <si>
    <t xml:space="preserve">Data quality and cleaning tabs follow the screening, diagnosis, treatment and documentation cycle of ACAPS, Data Cleaning (2016).</t>
  </si>
  <si>
    <t xml:space="preserve">Disclosure checklist draws on the OCHA Centre for Humanitarian Data guidance note on statistical disclosure control and the IASC Operational Guidance on Data Responsibility.</t>
  </si>
  <si>
    <t xml:space="preserve">Where a rule in the example rows is the analyst's own choice (for example a minimum of 30 households per figure), it is labelled as such.</t>
  </si>
  <si>
    <t xml:space="preserve">Every choice that shapes the results: record it when it is made, before seeing the results it affects.</t>
  </si>
  <si>
    <t xml:space="preserve">Workflow step: all steps   ·   Orange row = Sudan example (delete or overwrite)   ·   Grey cells = fill in   ·   White cells with no fill = formulas</t>
  </si>
  <si>
    <t xml:space="preserve">No.</t>
  </si>
  <si>
    <t xml:space="preserve">Date</t>
  </si>
  <si>
    <t xml:space="preserve">Step</t>
  </si>
  <si>
    <t xml:space="preserve">Decision</t>
  </si>
  <si>
    <t xml:space="preserve">Alternatives considered</t>
  </si>
  <si>
    <t xml:space="preserve">Reason</t>
  </si>
  <si>
    <t xml:space="preserve">Prompted by (check ID or source)</t>
  </si>
  <si>
    <t xml:space="preserve">Decided by</t>
  </si>
  <si>
    <t xml:space="preserve">Affects (indicators, tables)</t>
  </si>
  <si>
    <t xml:space="preserve">3 Data quality</t>
  </si>
  <si>
    <t xml:space="preserve">Disability in the household = disability_hh OR disability_hh_head</t>
  </si>
  <si>
    <t xml:space="preserve">disability_hh alone</t>
  </si>
  <si>
    <t xml:space="preserve">disability_hh covers other members only; the respondent is recorded in the second variable</t>
  </si>
  <si>
    <t xml:space="preserve">E2</t>
  </si>
  <si>
    <t xml:space="preserve">Analyst</t>
  </si>
  <si>
    <t xml:space="preserve">SQ2 disability group</t>
  </si>
  <si>
    <t xml:space="preserve">Data analysis plan</t>
  </si>
  <si>
    <t xml:space="preserve">Based on UNHCR's Data Analysis Plan template, with added columns (grey-blue band) for the rules this workflow fixes in advance.</t>
  </si>
  <si>
    <t xml:space="preserve">Workflow step: 2 Analysis plan   ·   Orange row = Sudan example (delete or overwrite)   ·   Grey cells = fill in   ·   White cells with no fill = formulas</t>
  </si>
  <si>
    <t xml:space="preserve">Theme(s)</t>
  </si>
  <si>
    <t xml:space="preserve">Indicator</t>
  </si>
  <si>
    <t xml:space="preserve">Categories of analysis</t>
  </si>
  <si>
    <t xml:space="preserve">Methodology</t>
  </si>
  <si>
    <t xml:space="preserve">Disaggregation</t>
  </si>
  <si>
    <t xml:space="preserve">Added: rules fixed in advance</t>
  </si>
  <si>
    <t xml:space="preserve">Planning</t>
  </si>
  <si>
    <t xml:space="preserve">Pillar</t>
  </si>
  <si>
    <t xml:space="preserve">Sub-pillar</t>
  </si>
  <si>
    <t xml:space="preserve">Topic</t>
  </si>
  <si>
    <t xml:space="preserve">ID indicator</t>
  </si>
  <si>
    <t xml:space="preserve">Indicator name</t>
  </si>
  <si>
    <t xml:space="preserve">Type of indicator</t>
  </si>
  <si>
    <t xml:space="preserve">Data type</t>
  </si>
  <si>
    <t xml:space="preserve">Geographical area</t>
  </si>
  <si>
    <t xml:space="preserve">Population group</t>
  </si>
  <si>
    <t xml:space="preserve">Data collection method</t>
  </si>
  <si>
    <t xml:space="preserve">Unit of measurement</t>
  </si>
  <si>
    <t xml:space="preserve">Questions (one indicator can have several)</t>
  </si>
  <si>
    <t xml:space="preserve">Type of question</t>
  </si>
  <si>
    <t xml:space="preserve">Disaggregation 1</t>
  </si>
  <si>
    <t xml:space="preserve">Disaggregation 2</t>
  </si>
  <si>
    <t xml:space="preserve">Disaggregation 3</t>
  </si>
  <si>
    <t xml:space="preserve">Disaggregation 4</t>
  </si>
  <si>
    <t xml:space="preserve">Disaggregation 5</t>
  </si>
  <si>
    <t xml:space="preserve">Other disaggregation</t>
  </si>
  <si>
    <t xml:space="preserve">Selection criteria met</t>
  </si>
  <si>
    <t xml:space="preserve">Variables</t>
  </si>
  <si>
    <t xml:space="preserve">Numerator</t>
  </si>
  <si>
    <t xml:space="preserve">Denominator</t>
  </si>
  <si>
    <t xml:space="preserve">Comparable between groups?</t>
  </si>
  <si>
    <t xml:space="preserve">Reference standard</t>
  </si>
  <si>
    <t xml:space="preserve">Validation source</t>
  </si>
  <si>
    <t xml:space="preserve">Limitations</t>
  </si>
  <si>
    <t xml:space="preserve">Responsibility</t>
  </si>
  <si>
    <t xml:space="preserve">Deadline</t>
  </si>
  <si>
    <t xml:space="preserve">Comments</t>
  </si>
  <si>
    <t xml:space="preserve">Adequate standard of living</t>
  </si>
  <si>
    <t xml:space="preserve">Basic needs</t>
  </si>
  <si>
    <t xml:space="preserve">Housing</t>
  </si>
  <si>
    <t xml:space="preserve">5</t>
  </si>
  <si>
    <t xml:space="preserve">% of households in urgent need of non-food items</t>
  </si>
  <si>
    <t xml:space="preserve">Direct</t>
  </si>
  <si>
    <t xml:space="preserve">Primary</t>
  </si>
  <si>
    <t xml:space="preserve">State (8)</t>
  </si>
  <si>
    <t xml:space="preserve">IDP households; host households</t>
  </si>
  <si>
    <t xml:space="preserve">HH survey</t>
  </si>
  <si>
    <t xml:space="preserve">HH</t>
  </si>
  <si>
    <t xml:space="preserve">Are you in urgent need of any non-food items?</t>
  </si>
  <si>
    <t xml:space="preserve">Closed</t>
  </si>
  <si>
    <t xml:space="preserve">By state</t>
  </si>
  <si>
    <t xml:space="preserve">By population type</t>
  </si>
  <si>
    <t xml:space="preserve">By sex of respondent</t>
  </si>
  <si>
    <t xml:space="preserve">By shelter type (IDPs)</t>
  </si>
  <si>
    <t xml:space="preserve">1 Relevant, 2 Comparable, 3 Full coverage, 4 Clear</t>
  </si>
  <si>
    <t xml:space="preserve">urgent_nfi_need_idp, urgent_nfi_need_host</t>
  </si>
  <si>
    <t xml:space="preserve">Households answering "Yes"</t>
  </si>
  <si>
    <t xml:space="preserve">Households asked the question with an answer recorded; "don't know" and "prefer not to answer" included</t>
  </si>
  <si>
    <t xml:space="preserve">Yes: same question for both groups</t>
  </si>
  <si>
    <t xml:space="preserve">Shelter/NFI sector</t>
  </si>
  <si>
    <t xml:space="preserve">Published report: 91% IDPs, 34% hosts</t>
  </si>
  <si>
    <t xml:space="preserve">Self-reported need; which items are needed is a separate question</t>
  </si>
  <si>
    <t xml:space="preserve">Disaggregation 3–4 used for the IDP subgroup analysis only</t>
  </si>
  <si>
    <t xml:space="preserve">Indicator reference sheet</t>
  </si>
  <si>
    <t xml:space="preserve">One sheet per indicator. Copy this tab for each indicator (right-click the tab &gt; Move or copy &gt; Create a copy).</t>
  </si>
  <si>
    <t xml:space="preserve">Field</t>
  </si>
  <si>
    <t xml:space="preserve">Your indicator</t>
  </si>
  <si>
    <t xml:space="preserve">Example: Sudan, indicator 5</t>
  </si>
  <si>
    <t xml:space="preserve">ID</t>
  </si>
  <si>
    <t xml:space="preserve">Domain / pillar</t>
  </si>
  <si>
    <t xml:space="preserve">Housing (adequate standard of living)</t>
  </si>
  <si>
    <t xml:space="preserve">Why selected (criteria met)</t>
  </si>
  <si>
    <t xml:space="preserve">Relevant, comparable, full coverage, clear; a published figure exists for validation</t>
  </si>
  <si>
    <t xml:space="preserve">Question wording</t>
  </si>
  <si>
    <t xml:space="preserve">"Are you in urgent need of any non-food items?" (Yes / No / Don't know / Prefer not to answer)</t>
  </si>
  <si>
    <t xml:space="preserve">Who was asked (routing)</t>
  </si>
  <si>
    <t xml:space="preserve">All IDP and all host respondents</t>
  </si>
  <si>
    <t xml:space="preserve">Households asked, answer recorded; "don't know" and "prefer not to answer" included</t>
  </si>
  <si>
    <t xml:space="preserve">State × group (IDP, host)</t>
  </si>
  <si>
    <t xml:space="preserve">Comparability between groups</t>
  </si>
  <si>
    <t xml:space="preserve">Same wording and answers for both groups</t>
  </si>
  <si>
    <t xml:space="preserve">Shelter/NFI sector practice</t>
  </si>
  <si>
    <t xml:space="preserve">Minimum cell size</t>
  </si>
  <si>
    <t xml:space="preserve">Under 30 not reported; 30–49 flagged (analyst's rule, common practice)</t>
  </si>
  <si>
    <t xml:space="preserve">Published report: 91% of IDPs, 34% of hosts</t>
  </si>
  <si>
    <t xml:space="preserve">Validation result</t>
  </si>
  <si>
    <t xml:space="preserve">IDPs reproduced; hosts not reproduced (83% in the data)</t>
  </si>
  <si>
    <t xml:space="preserve">Self-reported need; does not say which items</t>
  </si>
  <si>
    <t xml:space="preserve">Data quality issues (IDs)</t>
  </si>
  <si>
    <t xml:space="preserve">Last updated</t>
  </si>
  <si>
    <t xml:space="preserve">Data quality plan and issue log</t>
  </si>
  <si>
    <t xml:space="preserve">Agree the checks and decision rules before running them. Screening and diagnosis only: nothing is changed here.</t>
  </si>
  <si>
    <t xml:space="preserve">Workflow step: 3 Data quality   ·   Orange row = Sudan example (delete or overwrite)   ·   Grey cells = fill in   ·   White cells with no fill = formulas</t>
  </si>
  <si>
    <t xml:space="preserve">Check ID</t>
  </si>
  <si>
    <t xml:space="preserve">Type of check</t>
  </si>
  <si>
    <t xml:space="preserve">What it looks at</t>
  </si>
  <si>
    <t xml:space="preserve">Why</t>
  </si>
  <si>
    <t xml:space="preserve">Rule agreed in advance</t>
  </si>
  <si>
    <t xml:space="preserve">Result</t>
  </si>
  <si>
    <t xml:space="preserve">Rows affected</t>
  </si>
  <si>
    <t xml:space="preserve">Status</t>
  </si>
  <si>
    <t xml:space="preserve">Decision log no.</t>
  </si>
  <si>
    <t xml:space="preserve">Derived variables</t>
  </si>
  <si>
    <t xml:space="preserve">Disability variable vs its source questions (Washington Group items)</t>
  </si>
  <si>
    <t xml:space="preserve">Subgroup analysis depends on it</t>
  </si>
  <si>
    <t xml:space="preserve">Derived variable must match the Washington Group cut-off for the people it claims to cover</t>
  </si>
  <si>
    <t xml:space="preserve">disability_hh covers other members only; the respondent is in disability_hh_head</t>
  </si>
  <si>
    <t xml:space="preserve">584</t>
  </si>
  <si>
    <t xml:space="preserve">Recode</t>
  </si>
  <si>
    <t xml:space="preserve">Using disability_hh alone would miss 584 of 1,257 households</t>
  </si>
  <si>
    <t xml:space="preserve">Done</t>
  </si>
  <si>
    <t xml:space="preserve">Every change made to the data. The raw file is never edited; changes are applied by code or a documented procedure.</t>
  </si>
  <si>
    <t xml:space="preserve">Workflow step: 4 Cleaning   ·   Orange row = Sudan example (delete or overwrite)   ·   Grey cells = fill in   ·   White cells with no fill = formulas</t>
  </si>
  <si>
    <t xml:space="preserve">Change no.</t>
  </si>
  <si>
    <t xml:space="preserve">Check ID (Data quality plan)</t>
  </si>
  <si>
    <t xml:space="preserve">Variable(s)</t>
  </si>
  <si>
    <t xml:space="preserve">Change made</t>
  </si>
  <si>
    <t xml:space="preserve">Value before</t>
  </si>
  <si>
    <t xml:space="preserve">Value after</t>
  </si>
  <si>
    <t xml:space="preserve">Rule applied</t>
  </si>
  <si>
    <t xml:space="preserve">By</t>
  </si>
  <si>
    <t xml:space="preserve">A3</t>
  </si>
  <si>
    <t xml:space="preserve">year_of_displacement</t>
  </si>
  <si>
    <t xml:space="preserve">Text "Unknown" set to missing</t>
  </si>
  <si>
    <t xml:space="preserve">Unknown</t>
  </si>
  <si>
    <t xml:space="preserve">(missing)</t>
  </si>
  <si>
    <t xml:space="preserve">Non-numeric values in a numeric field are set to missing, not guessed</t>
  </si>
  <si>
    <t xml:space="preserve">Validation table</t>
  </si>
  <si>
    <t xml:space="preserve">Compare each published figure with your result. Verdict thresholds are in the cells below the table: change them there.</t>
  </si>
  <si>
    <t xml:space="preserve">Workflow step: 6 Validation   ·   Orange row = Sudan example (delete or overwrite)   ·   Grey cells = fill in   ·   White cells with no fill = formulas</t>
  </si>
  <si>
    <t xml:space="preserve">Figure ID</t>
  </si>
  <si>
    <t xml:space="preserve">Source and page</t>
  </si>
  <si>
    <t xml:space="preserve">Published wording</t>
  </si>
  <si>
    <t xml:space="preserve">Group</t>
  </si>
  <si>
    <t xml:space="preserve">Area</t>
  </si>
  <si>
    <t xml:space="preserve">Published value (%)</t>
  </si>
  <si>
    <t xml:space="preserve">Our value (%)</t>
  </si>
  <si>
    <t xml:space="preserve">Difference (points)</t>
  </si>
  <si>
    <t xml:space="preserve">Verdict</t>
  </si>
  <si>
    <t xml:space="preserve">Explanation or hypothesis</t>
  </si>
  <si>
    <t xml:space="preserve">V12</t>
  </si>
  <si>
    <t xml:space="preserve">Published report, p. 2</t>
  </si>
  <si>
    <t xml:space="preserve">"34% of host households are in urgent need of non-food items"</t>
  </si>
  <si>
    <t xml:space="preserve">Host</t>
  </si>
  <si>
    <t xml:space="preserve">6 states</t>
  </si>
  <si>
    <t xml:space="preserve">Host "yes" answers divided by all respondents gives 32.5%: a possible denominator error (hypothesis)</t>
  </si>
  <si>
    <t xml:space="preserve">Verdict thresholds (analyst's rule)</t>
  </si>
  <si>
    <t xml:space="preserve">Reproduced: within ± points</t>
  </si>
  <si>
    <t xml:space="preserve">Close: within ± points</t>
  </si>
  <si>
    <t xml:space="preserve">Summary</t>
  </si>
  <si>
    <t xml:space="preserve">Reproduced</t>
  </si>
  <si>
    <t xml:space="preserve">Close</t>
  </si>
  <si>
    <t xml:space="preserve">Not reproduced</t>
  </si>
  <si>
    <t xml:space="preserve">Run before publishing any table, chart, map or dataset.</t>
  </si>
  <si>
    <t xml:space="preserve">Workflow step: 7 Data protection   ·   Orange row = Sudan example (delete or overwrite)   ·   Grey cells = fill in   ·   White cells with no fill = formulas</t>
  </si>
  <si>
    <t xml:space="preserve">Check</t>
  </si>
  <si>
    <t xml:space="preserve">Question</t>
  </si>
  <si>
    <t xml:space="preserve">Rule</t>
  </si>
  <si>
    <t xml:space="preserve">Output checked</t>
  </si>
  <si>
    <t xml:space="preserve">Pass?</t>
  </si>
  <si>
    <t xml:space="preserve">Action taken</t>
  </si>
  <si>
    <t xml:space="preserve">P4</t>
  </si>
  <si>
    <t xml:space="preserve">Rare combinations</t>
  </si>
  <si>
    <t xml:space="preserve">How many households become unique or rare when location is added to key characteristics?</t>
  </si>
  <si>
    <t xml:space="preserve">Do not publish household-level data where many households are rare (OCHA Centre default risk threshold: 3%)</t>
  </si>
  <si>
    <t xml:space="preserve">Cleaned household file</t>
  </si>
  <si>
    <t xml:space="preserve">23.8% of households rare once settlement is added</t>
  </si>
  <si>
    <t xml:space="preserve">No</t>
  </si>
  <si>
    <t xml:space="preserve">Publish state-level aggregates only; no household-level data</t>
  </si>
  <si>
    <t xml:space="preserve">P1</t>
  </si>
  <si>
    <t xml:space="preserve">Small cells</t>
  </si>
  <si>
    <t xml:space="preserve">Is any published figure based on fewer households than the minimum cell size?</t>
  </si>
  <si>
    <t xml:space="preserve">Under 30 not reported; 30–49 flagged (analyst's rule)</t>
  </si>
  <si>
    <t xml:space="preserve">P2</t>
  </si>
  <si>
    <t xml:space="preserve">Place names</t>
  </si>
  <si>
    <t xml:space="preserve">Do outputs name settlements, sites or other small places?</t>
  </si>
  <si>
    <t xml:space="preserve">Only areas large enough to protect respondents (e.g. state)</t>
  </si>
  <si>
    <t xml:space="preserve">P3</t>
  </si>
  <si>
    <t xml:space="preserve">Direct identifiers</t>
  </si>
  <si>
    <t xml:space="preserve">Do outputs or files contain names, phone numbers, GPS points or IDs?</t>
  </si>
  <si>
    <t xml:space="preserve">None published</t>
  </si>
  <si>
    <t xml:space="preserve">P5</t>
  </si>
  <si>
    <t xml:space="preserve">Sensitive variables</t>
  </si>
  <si>
    <t xml:space="preserve">Are ethnicity, language, religion or other sensitive traits shown by small area?</t>
  </si>
  <si>
    <t xml:space="preserve">Not analysed or published</t>
  </si>
  <si>
    <t xml:space="preserve">P6</t>
  </si>
  <si>
    <t xml:space="preserve">Free text</t>
  </si>
  <si>
    <t xml:space="preserve">Do outputs quote open answers that could identify someone?</t>
  </si>
  <si>
    <t xml:space="preserve">No free text published</t>
  </si>
  <si>
    <t xml:space="preserve">P7</t>
  </si>
  <si>
    <t xml:space="preserve">Files in the repository</t>
  </si>
  <si>
    <t xml:space="preserve">Does the published repository contain raw or household-level data?</t>
  </si>
  <si>
    <t xml:space="preserve">Code and aggregates only</t>
  </si>
  <si>
    <t xml:space="preserve">Verification of key figures</t>
  </si>
  <si>
    <t xml:space="preserve">Before release, recount the headline figures independently, from the raw data, by a method different from the analysis code (for example, a filter or pivot table in Excel).</t>
  </si>
  <si>
    <t xml:space="preserve">Workflow step: 8 Reporting   ·   Orange row = Sudan example (delete or overwrite)   ·   Grey cells = fill in   ·   White cells with no fill = formulas</t>
  </si>
  <si>
    <t xml:space="preserve">Figure no.</t>
  </si>
  <si>
    <t xml:space="preserve">Figure as it appears in the report</t>
  </si>
  <si>
    <t xml:space="preserve">Where it appears</t>
  </si>
  <si>
    <t xml:space="preserve">Value in report (%)</t>
  </si>
  <si>
    <t xml:space="preserve">Steps to recount (filter, numerator, denominator)</t>
  </si>
  <si>
    <t xml:space="preserve">Recount: Excel (%)</t>
  </si>
  <si>
    <t xml:space="preserve">Recount: R from a clean copy (%)</t>
  </si>
  <si>
    <t xml:space="preserve">Max difference (points)</t>
  </si>
  <si>
    <t xml:space="preserve">Match?</t>
  </si>
  <si>
    <t xml:space="preserve">Checked by</t>
  </si>
  <si>
    <t xml:space="preserve">Host households in urgent need of non-food items, Red Sea</t>
  </si>
  <si>
    <t xml:space="preserve">Brief, chart 1</t>
  </si>
  <si>
    <t xml:space="preserve">Filter state = Red Sea and idp_status = host; count "Yes" in urgent_nfi_need_host; divide by all non-blank answers</t>
  </si>
  <si>
    <t xml:space="preserve">Tolerance</t>
  </si>
  <si>
    <t xml:space="preserve">Rounding tolerance (points)</t>
  </si>
  <si>
    <t xml:space="preserve">1 Framing</t>
  </si>
  <si>
    <t xml:space="preserve">Individual</t>
  </si>
  <si>
    <t xml:space="preserve">Open</t>
  </si>
  <si>
    <t xml:space="preserve">Yes</t>
  </si>
  <si>
    <t xml:space="preserve">Structure</t>
  </si>
  <si>
    <t xml:space="preserve">None needed</t>
  </si>
  <si>
    <t xml:space="preserve">2 Analysis plan</t>
  </si>
  <si>
    <t xml:space="preserve">Proxy</t>
  </si>
  <si>
    <t xml:space="preserve">Secondary</t>
  </si>
  <si>
    <t xml:space="preserve">Key informant interview</t>
  </si>
  <si>
    <t xml:space="preserve">Partly</t>
  </si>
  <si>
    <t xml:space="preserve">Duplicates</t>
  </si>
  <si>
    <t xml:space="preserve">Key informant interview by phone</t>
  </si>
  <si>
    <t xml:space="preserve">Community</t>
  </si>
  <si>
    <t xml:space="preserve">Data types</t>
  </si>
  <si>
    <t xml:space="preserve">Set to missing</t>
  </si>
  <si>
    <t xml:space="preserve">Not fixable</t>
  </si>
  <si>
    <t xml:space="preserve">4 Cleaning</t>
  </si>
  <si>
    <t xml:space="preserve">Focus group discussion</t>
  </si>
  <si>
    <t xml:space="preserve">Survey design</t>
  </si>
  <si>
    <t xml:space="preserve">Exclude</t>
  </si>
  <si>
    <t xml:space="preserve">5 Analysis</t>
  </si>
  <si>
    <t xml:space="preserve">Secondary data review</t>
  </si>
  <si>
    <t xml:space="preserve">Missing values</t>
  </si>
  <si>
    <t xml:space="preserve">Flag only</t>
  </si>
  <si>
    <t xml:space="preserve">6 Validation</t>
  </si>
  <si>
    <t xml:space="preserve">Observation</t>
  </si>
  <si>
    <t xml:space="preserve">Don't know / refused</t>
  </si>
  <si>
    <t xml:space="preserve">Drop indicator</t>
  </si>
  <si>
    <t xml:space="preserve">7 Data protection</t>
  </si>
  <si>
    <t xml:space="preserve">Reconciliation</t>
  </si>
  <si>
    <t xml:space="preserve">8 Reporting</t>
  </si>
  <si>
    <t xml:space="preserve">Classification</t>
  </si>
  <si>
    <t xml:space="preserve">All steps</t>
  </si>
  <si>
    <t xml:space="preserve">Routing</t>
  </si>
  <si>
    <t xml:space="preserve">Plausibility</t>
  </si>
  <si>
    <t xml:space="preserve">Consistency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</si>
</sst>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2344F"/>
      <name val="Arial"/>
      <family val="0"/>
      <charset val="1"/>
    </font>
    <font>
      <sz val="10"/>
      <color rgb="FF5B5750"/>
      <name val="Arial"/>
      <family val="0"/>
      <charset val="1"/>
    </font>
    <font>
      <b val="true"/>
      <sz val="10"/>
      <color rgb="FF22344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22344F"/>
      <name val="Arial"/>
      <family val="0"/>
      <charset val="1"/>
    </font>
    <font>
      <i val="true"/>
      <sz val="9"/>
      <color rgb="FF5B57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4F7"/>
        <bgColor rgb="FFFFF7E6"/>
      </patternFill>
    </fill>
    <fill>
      <patternFill patternType="solid">
        <fgColor rgb="FFFFF7E6"/>
        <bgColor rgb="FFF2F4F7"/>
      </patternFill>
    </fill>
    <fill>
      <patternFill patternType="solid">
        <fgColor rgb="FF22344F"/>
        <bgColor rgb="FF003366"/>
      </patternFill>
    </fill>
    <fill>
      <patternFill patternType="solid">
        <fgColor rgb="FF2F6DB0"/>
        <bgColor rgb="FF0066CC"/>
      </patternFill>
    </fill>
    <fill>
      <patternFill patternType="solid">
        <fgColor rgb="FF5B7FA8"/>
        <bgColor rgb="FF2F6DB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B5750"/>
      <rgbColor rgb="FF9999FF"/>
      <rgbColor rgb="FF993366"/>
      <rgbColor rgb="FFFFF7E6"/>
      <rgbColor rgb="FFF2F4F7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DB0"/>
      <rgbColor rgb="FF33CCCC"/>
      <rgbColor rgb="FF99CC00"/>
      <rgbColor rgb="FFFFCC00"/>
      <rgbColor rgb="FFFF9900"/>
      <rgbColor rgb="FFFF6600"/>
      <rgbColor rgb="FF5B7FA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4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6" t="s">
        <v>5</v>
      </c>
      <c r="B6" s="4" t="s">
        <v>6</v>
      </c>
    </row>
    <row r="7" customFormat="false" ht="15" hidden="false" customHeight="false" outlineLevel="0" collapsed="false">
      <c r="A7" s="7" t="s">
        <v>7</v>
      </c>
      <c r="B7" s="4" t="s">
        <v>8</v>
      </c>
    </row>
    <row r="8" customFormat="false" ht="15" hidden="false" customHeight="false" outlineLevel="0" collapsed="false">
      <c r="A8" s="7" t="s">
        <v>9</v>
      </c>
      <c r="B8" s="4" t="s">
        <v>10</v>
      </c>
    </row>
    <row r="9" customFormat="false" ht="15" hidden="false" customHeight="false" outlineLevel="0" collapsed="false">
      <c r="A9" s="7"/>
      <c r="B9" s="4"/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7" t="s">
        <v>13</v>
      </c>
      <c r="B11" s="4" t="s">
        <v>14</v>
      </c>
    </row>
    <row r="12" customFormat="false" ht="15" hidden="false" customHeight="false" outlineLevel="0" collapsed="false">
      <c r="A12" s="7" t="s">
        <v>15</v>
      </c>
      <c r="B12" s="4" t="s">
        <v>16</v>
      </c>
    </row>
    <row r="13" customFormat="false" ht="15" hidden="false" customHeight="false" outlineLevel="0" collapsed="false">
      <c r="A13" s="7" t="s">
        <v>17</v>
      </c>
      <c r="B13" s="4" t="s">
        <v>18</v>
      </c>
    </row>
    <row r="14" customFormat="false" ht="15" hidden="false" customHeight="false" outlineLevel="0" collapsed="false">
      <c r="A14" s="7" t="s">
        <v>19</v>
      </c>
      <c r="B14" s="4" t="s">
        <v>20</v>
      </c>
    </row>
    <row r="15" customFormat="false" ht="15" hidden="false" customHeight="false" outlineLevel="0" collapsed="false">
      <c r="A15" s="7" t="s">
        <v>21</v>
      </c>
      <c r="B15" s="4" t="s">
        <v>22</v>
      </c>
    </row>
    <row r="16" customFormat="false" ht="15" hidden="false" customHeight="false" outlineLevel="0" collapsed="false">
      <c r="A16" s="7" t="s">
        <v>23</v>
      </c>
      <c r="B16" s="4" t="s">
        <v>24</v>
      </c>
    </row>
    <row r="17" customFormat="false" ht="15" hidden="false" customHeight="false" outlineLevel="0" collapsed="false">
      <c r="A17" s="7" t="s">
        <v>25</v>
      </c>
      <c r="B17" s="4" t="s">
        <v>26</v>
      </c>
    </row>
    <row r="18" customFormat="false" ht="15" hidden="false" customHeight="false" outlineLevel="0" collapsed="false">
      <c r="A18" s="7" t="s">
        <v>27</v>
      </c>
      <c r="B18" s="4" t="s">
        <v>28</v>
      </c>
    </row>
    <row r="19" customFormat="false" ht="15" hidden="false" customHeight="false" outlineLevel="0" collapsed="false">
      <c r="A19" s="7"/>
      <c r="B19" s="4"/>
    </row>
    <row r="20" customFormat="false" ht="35.05" hidden="false" customHeight="false" outlineLevel="0" collapsed="false">
      <c r="A20" s="3" t="s">
        <v>29</v>
      </c>
      <c r="B20" s="4" t="s">
        <v>30</v>
      </c>
    </row>
    <row r="21" customFormat="false" ht="23.85" hidden="false" customHeight="false" outlineLevel="0" collapsed="false">
      <c r="A21" s="7"/>
      <c r="B21" s="4" t="s">
        <v>31</v>
      </c>
    </row>
    <row r="22" customFormat="false" ht="23.85" hidden="false" customHeight="false" outlineLevel="0" collapsed="false">
      <c r="A22" s="7"/>
      <c r="B22" s="4" t="s">
        <v>32</v>
      </c>
    </row>
    <row r="23" customFormat="false" ht="23.85" hidden="false" customHeight="false" outlineLevel="0" collapsed="false">
      <c r="A23" s="7"/>
      <c r="B23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8" t="s">
        <v>13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9" t="s">
        <v>35</v>
      </c>
    </row>
    <row r="5" customFormat="false" ht="42" hidden="false" customHeight="true" outlineLevel="0" collapsed="false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41</v>
      </c>
      <c r="G5" s="10" t="s">
        <v>42</v>
      </c>
      <c r="H5" s="10" t="s">
        <v>43</v>
      </c>
      <c r="I5" s="10" t="s">
        <v>44</v>
      </c>
    </row>
    <row r="6" customFormat="false" ht="23.85" hidden="false" customHeight="false" outlineLevel="0" collapsed="false">
      <c r="A6" s="11" t="n">
        <v>1</v>
      </c>
      <c r="B6" s="11"/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</row>
  </sheetData>
  <dataValidations count="1">
    <dataValidation allowBlank="true" errorStyle="stop" operator="between" showDropDown="false" showErrorMessage="false" showInputMessage="false" sqref="C6:C36" type="list">
      <formula1>Lists!$A$2:$A$10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9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10" min="8" style="0" width="14"/>
    <col collapsed="false" customWidth="true" hidden="false" outlineLevel="0" max="11" min="11" style="0" width="11"/>
    <col collapsed="false" customWidth="true" hidden="false" outlineLevel="0" max="12" min="12" style="0" width="32"/>
    <col collapsed="false" customWidth="true" hidden="false" outlineLevel="0" max="13" min="13" style="0" width="10"/>
    <col collapsed="false" customWidth="true" hidden="false" outlineLevel="0" max="18" min="14" style="0" width="13"/>
    <col collapsed="false" customWidth="true" hidden="false" outlineLevel="0" max="19" min="19" style="0" width="14"/>
    <col collapsed="false" customWidth="true" hidden="false" outlineLevel="0" max="20" min="20" style="0" width="16"/>
    <col collapsed="false" customWidth="true" hidden="false" outlineLevel="0" max="21" min="21" style="0" width="20"/>
    <col collapsed="false" customWidth="true" hidden="false" outlineLevel="0" max="22" min="22" style="0" width="22"/>
    <col collapsed="false" customWidth="true" hidden="false" outlineLevel="0" max="23" min="23" style="0" width="26"/>
    <col collapsed="false" customWidth="true" hidden="false" outlineLevel="0" max="25" min="24" style="0" width="18"/>
    <col collapsed="false" customWidth="true" hidden="false" outlineLevel="0" max="26" min="26" style="0" width="20"/>
    <col collapsed="false" customWidth="true" hidden="false" outlineLevel="0" max="27" min="27" style="0" width="28"/>
    <col collapsed="false" customWidth="true" hidden="false" outlineLevel="0" max="28" min="28" style="0" width="14"/>
    <col collapsed="false" customWidth="true" hidden="false" outlineLevel="0" max="29" min="29" style="0" width="11"/>
    <col collapsed="false" customWidth="true" hidden="false" outlineLevel="0" max="30" min="30" style="0" width="24"/>
  </cols>
  <sheetData>
    <row r="1" customFormat="false" ht="17.35" hidden="false" customHeight="false" outlineLevel="0" collapsed="false">
      <c r="A1" s="8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9" t="s">
        <v>54</v>
      </c>
    </row>
    <row r="5" customFormat="false" ht="15" hidden="false" customHeight="false" outlineLevel="0" collapsed="false">
      <c r="A5" s="13" t="s">
        <v>55</v>
      </c>
      <c r="B5" s="13"/>
      <c r="C5" s="13"/>
      <c r="D5" s="13" t="s">
        <v>56</v>
      </c>
      <c r="E5" s="13"/>
      <c r="F5" s="13"/>
      <c r="G5" s="13"/>
      <c r="H5" s="13" t="s">
        <v>57</v>
      </c>
      <c r="I5" s="13"/>
      <c r="J5" s="13" t="s">
        <v>58</v>
      </c>
      <c r="K5" s="13"/>
      <c r="L5" s="13"/>
      <c r="M5" s="13"/>
      <c r="N5" s="13" t="s">
        <v>59</v>
      </c>
      <c r="O5" s="13"/>
      <c r="P5" s="13"/>
      <c r="Q5" s="13"/>
      <c r="R5" s="13"/>
      <c r="S5" s="13"/>
      <c r="T5" s="14" t="s">
        <v>60</v>
      </c>
      <c r="U5" s="14"/>
      <c r="V5" s="14"/>
      <c r="W5" s="14"/>
      <c r="X5" s="14"/>
      <c r="Y5" s="14"/>
      <c r="Z5" s="14"/>
      <c r="AA5" s="14"/>
      <c r="AB5" s="13" t="s">
        <v>61</v>
      </c>
      <c r="AC5" s="13"/>
      <c r="AD5" s="13"/>
    </row>
    <row r="6" customFormat="false" ht="42" hidden="false" customHeight="true" outlineLevel="0" collapsed="false">
      <c r="A6" s="10" t="s">
        <v>62</v>
      </c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  <c r="H6" s="10" t="s">
        <v>69</v>
      </c>
      <c r="I6" s="10" t="s">
        <v>70</v>
      </c>
      <c r="J6" s="10" t="s">
        <v>71</v>
      </c>
      <c r="K6" s="10" t="s">
        <v>72</v>
      </c>
      <c r="L6" s="10" t="s">
        <v>73</v>
      </c>
      <c r="M6" s="10" t="s">
        <v>74</v>
      </c>
      <c r="N6" s="10" t="s">
        <v>75</v>
      </c>
      <c r="O6" s="10" t="s">
        <v>76</v>
      </c>
      <c r="P6" s="10" t="s">
        <v>77</v>
      </c>
      <c r="Q6" s="10" t="s">
        <v>78</v>
      </c>
      <c r="R6" s="10" t="s">
        <v>79</v>
      </c>
      <c r="S6" s="10" t="s">
        <v>80</v>
      </c>
      <c r="T6" s="10" t="s">
        <v>81</v>
      </c>
      <c r="U6" s="10" t="s">
        <v>82</v>
      </c>
      <c r="V6" s="10" t="s">
        <v>83</v>
      </c>
      <c r="W6" s="10" t="s">
        <v>84</v>
      </c>
      <c r="X6" s="10" t="s">
        <v>85</v>
      </c>
      <c r="Y6" s="10" t="s">
        <v>86</v>
      </c>
      <c r="Z6" s="10" t="s">
        <v>87</v>
      </c>
      <c r="AA6" s="10" t="s">
        <v>88</v>
      </c>
      <c r="AB6" s="10" t="s">
        <v>89</v>
      </c>
      <c r="AC6" s="10" t="s">
        <v>90</v>
      </c>
      <c r="AD6" s="10" t="s">
        <v>91</v>
      </c>
    </row>
    <row r="7" customFormat="false" ht="46.25" hidden="false" customHeight="false" outlineLevel="0" collapsed="false">
      <c r="A7" s="11" t="s">
        <v>92</v>
      </c>
      <c r="B7" s="11" t="s">
        <v>93</v>
      </c>
      <c r="C7" s="11" t="s">
        <v>94</v>
      </c>
      <c r="D7" s="11" t="s">
        <v>95</v>
      </c>
      <c r="E7" s="11" t="s">
        <v>96</v>
      </c>
      <c r="F7" s="11" t="s">
        <v>97</v>
      </c>
      <c r="G7" s="11" t="s">
        <v>98</v>
      </c>
      <c r="H7" s="11" t="s">
        <v>99</v>
      </c>
      <c r="I7" s="11" t="s">
        <v>100</v>
      </c>
      <c r="J7" s="11" t="s">
        <v>101</v>
      </c>
      <c r="K7" s="11" t="s">
        <v>102</v>
      </c>
      <c r="L7" s="11" t="s">
        <v>103</v>
      </c>
      <c r="M7" s="11" t="s">
        <v>104</v>
      </c>
      <c r="N7" s="11" t="s">
        <v>105</v>
      </c>
      <c r="O7" s="11" t="s">
        <v>106</v>
      </c>
      <c r="P7" s="11" t="s">
        <v>107</v>
      </c>
      <c r="Q7" s="11" t="s">
        <v>108</v>
      </c>
      <c r="R7" s="11"/>
      <c r="S7" s="11"/>
      <c r="T7" s="11" t="s">
        <v>109</v>
      </c>
      <c r="U7" s="11" t="s">
        <v>110</v>
      </c>
      <c r="V7" s="11" t="s">
        <v>111</v>
      </c>
      <c r="W7" s="11" t="s">
        <v>112</v>
      </c>
      <c r="X7" s="11" t="s">
        <v>113</v>
      </c>
      <c r="Y7" s="11" t="s">
        <v>114</v>
      </c>
      <c r="Z7" s="11" t="s">
        <v>115</v>
      </c>
      <c r="AA7" s="11" t="s">
        <v>116</v>
      </c>
      <c r="AB7" s="11" t="s">
        <v>50</v>
      </c>
      <c r="AC7" s="11"/>
      <c r="AD7" s="11" t="s">
        <v>117</v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</sheetData>
  <mergeCells count="7">
    <mergeCell ref="A5:C5"/>
    <mergeCell ref="D5:G5"/>
    <mergeCell ref="H5:I5"/>
    <mergeCell ref="J5:M5"/>
    <mergeCell ref="N5:S5"/>
    <mergeCell ref="T5:AA5"/>
    <mergeCell ref="AB5:AD5"/>
  </mergeCells>
  <dataValidations count="6">
    <dataValidation allowBlank="true" errorStyle="stop" operator="between" showDropDown="false" showErrorMessage="false" showInputMessage="false" sqref="F7:F37" type="list">
      <formula1>Lists!$B$2:$B$3</formula1>
      <formula2>0</formula2>
    </dataValidation>
    <dataValidation allowBlank="true" errorStyle="stop" operator="between" showDropDown="false" showErrorMessage="false" showInputMessage="false" sqref="G7:G37" type="list">
      <formula1>Lists!$C$2:$C$3</formula1>
      <formula2>0</formula2>
    </dataValidation>
    <dataValidation allowBlank="true" errorStyle="stop" operator="between" showDropDown="false" showErrorMessage="false" showInputMessage="false" sqref="J7:J37" type="list">
      <formula1>Lists!$D$2:$D$7</formula1>
      <formula2>0</formula2>
    </dataValidation>
    <dataValidation allowBlank="true" errorStyle="stop" operator="between" showDropDown="false" showErrorMessage="false" showInputMessage="false" sqref="K7:K37" type="list">
      <formula1>Lists!$E$2:$E$4</formula1>
      <formula2>0</formula2>
    </dataValidation>
    <dataValidation allowBlank="true" errorStyle="stop" operator="between" showDropDown="false" showErrorMessage="false" showInputMessage="false" sqref="M7:M37" type="list">
      <formula1>Lists!$F$2:$F$3</formula1>
      <formula2>0</formula2>
    </dataValidation>
    <dataValidation allowBlank="true" errorStyle="stop" operator="between" showDropDown="false" showErrorMessage="false" showInputMessage="false" sqref="X7:X37" type="list">
      <formula1>Lists!$G$2:$G$4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60"/>
  </cols>
  <sheetData>
    <row r="1" customFormat="false" ht="17.35" hidden="false" customHeight="false" outlineLevel="0" collapsed="false">
      <c r="A1" s="8" t="s">
        <v>118</v>
      </c>
    </row>
    <row r="2" customFormat="false" ht="15" hidden="false" customHeight="false" outlineLevel="0" collapsed="false">
      <c r="A2" s="2" t="s">
        <v>119</v>
      </c>
    </row>
    <row r="3" customFormat="false" ht="15" hidden="false" customHeight="false" outlineLevel="0" collapsed="false">
      <c r="A3" s="9" t="s">
        <v>54</v>
      </c>
    </row>
    <row r="5" customFormat="false" ht="15" hidden="false" customHeight="false" outlineLevel="0" collapsed="false">
      <c r="A5" s="15" t="s">
        <v>120</v>
      </c>
      <c r="B5" s="15" t="s">
        <v>121</v>
      </c>
      <c r="C5" s="15" t="s">
        <v>122</v>
      </c>
    </row>
    <row r="6" customFormat="false" ht="15" hidden="false" customHeight="false" outlineLevel="0" collapsed="false">
      <c r="A6" s="16" t="s">
        <v>123</v>
      </c>
      <c r="B6" s="17"/>
      <c r="C6" s="11" t="s">
        <v>95</v>
      </c>
    </row>
    <row r="7" customFormat="false" ht="15" hidden="false" customHeight="false" outlineLevel="0" collapsed="false">
      <c r="A7" s="16" t="s">
        <v>66</v>
      </c>
      <c r="B7" s="17"/>
      <c r="C7" s="11" t="s">
        <v>96</v>
      </c>
    </row>
    <row r="8" customFormat="false" ht="15" hidden="false" customHeight="false" outlineLevel="0" collapsed="false">
      <c r="A8" s="16" t="s">
        <v>124</v>
      </c>
      <c r="B8" s="17"/>
      <c r="C8" s="11" t="s">
        <v>125</v>
      </c>
    </row>
    <row r="9" customFormat="false" ht="23.85" hidden="false" customHeight="false" outlineLevel="0" collapsed="false">
      <c r="A9" s="16" t="s">
        <v>126</v>
      </c>
      <c r="B9" s="17"/>
      <c r="C9" s="11" t="s">
        <v>127</v>
      </c>
    </row>
    <row r="10" customFormat="false" ht="23.85" hidden="false" customHeight="false" outlineLevel="0" collapsed="false">
      <c r="A10" s="16" t="s">
        <v>128</v>
      </c>
      <c r="B10" s="17"/>
      <c r="C10" s="11" t="s">
        <v>129</v>
      </c>
    </row>
    <row r="11" customFormat="false" ht="15" hidden="false" customHeight="false" outlineLevel="0" collapsed="false">
      <c r="A11" s="16" t="s">
        <v>82</v>
      </c>
      <c r="B11" s="17"/>
      <c r="C11" s="11" t="s">
        <v>110</v>
      </c>
    </row>
    <row r="12" customFormat="false" ht="15" hidden="false" customHeight="false" outlineLevel="0" collapsed="false">
      <c r="A12" s="16" t="s">
        <v>130</v>
      </c>
      <c r="B12" s="17"/>
      <c r="C12" s="11" t="s">
        <v>131</v>
      </c>
    </row>
    <row r="13" customFormat="false" ht="15" hidden="false" customHeight="false" outlineLevel="0" collapsed="false">
      <c r="A13" s="16" t="s">
        <v>83</v>
      </c>
      <c r="B13" s="17"/>
      <c r="C13" s="11" t="s">
        <v>111</v>
      </c>
    </row>
    <row r="14" customFormat="false" ht="23.85" hidden="false" customHeight="false" outlineLevel="0" collapsed="false">
      <c r="A14" s="16" t="s">
        <v>84</v>
      </c>
      <c r="B14" s="17"/>
      <c r="C14" s="11" t="s">
        <v>132</v>
      </c>
    </row>
    <row r="15" customFormat="false" ht="15" hidden="false" customHeight="false" outlineLevel="0" collapsed="false">
      <c r="A15" s="16" t="s">
        <v>59</v>
      </c>
      <c r="B15" s="17"/>
      <c r="C15" s="11" t="s">
        <v>133</v>
      </c>
    </row>
    <row r="16" customFormat="false" ht="15" hidden="false" customHeight="false" outlineLevel="0" collapsed="false">
      <c r="A16" s="16" t="s">
        <v>134</v>
      </c>
      <c r="B16" s="17"/>
      <c r="C16" s="11" t="s">
        <v>135</v>
      </c>
    </row>
    <row r="17" customFormat="false" ht="15" hidden="false" customHeight="false" outlineLevel="0" collapsed="false">
      <c r="A17" s="16" t="s">
        <v>86</v>
      </c>
      <c r="B17" s="17"/>
      <c r="C17" s="11" t="s">
        <v>136</v>
      </c>
    </row>
    <row r="18" customFormat="false" ht="15" hidden="false" customHeight="false" outlineLevel="0" collapsed="false">
      <c r="A18" s="16" t="s">
        <v>137</v>
      </c>
      <c r="B18" s="17"/>
      <c r="C18" s="11" t="s">
        <v>138</v>
      </c>
    </row>
    <row r="19" customFormat="false" ht="15" hidden="false" customHeight="false" outlineLevel="0" collapsed="false">
      <c r="A19" s="16" t="s">
        <v>87</v>
      </c>
      <c r="B19" s="17"/>
      <c r="C19" s="11" t="s">
        <v>139</v>
      </c>
    </row>
    <row r="20" customFormat="false" ht="15" hidden="false" customHeight="false" outlineLevel="0" collapsed="false">
      <c r="A20" s="16" t="s">
        <v>140</v>
      </c>
      <c r="B20" s="17"/>
      <c r="C20" s="11" t="s">
        <v>141</v>
      </c>
    </row>
    <row r="21" customFormat="false" ht="15" hidden="false" customHeight="false" outlineLevel="0" collapsed="false">
      <c r="A21" s="16" t="s">
        <v>88</v>
      </c>
      <c r="B21" s="17"/>
      <c r="C21" s="11" t="s">
        <v>142</v>
      </c>
    </row>
    <row r="22" customFormat="false" ht="15" hidden="false" customHeight="false" outlineLevel="0" collapsed="false">
      <c r="A22" s="16" t="s">
        <v>143</v>
      </c>
      <c r="B22" s="17"/>
      <c r="C22" s="11"/>
    </row>
    <row r="23" customFormat="false" ht="15" hidden="false" customHeight="false" outlineLevel="0" collapsed="false">
      <c r="A23" s="16" t="s">
        <v>144</v>
      </c>
      <c r="B23" s="17"/>
      <c r="C2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6" min="5" style="0" width="30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8" t="s">
        <v>145</v>
      </c>
    </row>
    <row r="2" customFormat="false" ht="15" hidden="false" customHeight="false" outlineLevel="0" collapsed="false">
      <c r="A2" s="2" t="s">
        <v>146</v>
      </c>
    </row>
    <row r="3" customFormat="false" ht="15" hidden="false" customHeight="false" outlineLevel="0" collapsed="false">
      <c r="A3" s="9" t="s">
        <v>147</v>
      </c>
    </row>
    <row r="5" customFormat="false" ht="42" hidden="false" customHeight="true" outlineLevel="0" collapsed="false">
      <c r="A5" s="10" t="s">
        <v>148</v>
      </c>
      <c r="B5" s="10" t="s">
        <v>149</v>
      </c>
      <c r="C5" s="10" t="s">
        <v>150</v>
      </c>
      <c r="D5" s="10" t="s">
        <v>151</v>
      </c>
      <c r="E5" s="10" t="s">
        <v>152</v>
      </c>
      <c r="F5" s="10" t="s">
        <v>153</v>
      </c>
      <c r="G5" s="10" t="s">
        <v>154</v>
      </c>
      <c r="H5" s="10" t="s">
        <v>39</v>
      </c>
      <c r="I5" s="10" t="s">
        <v>41</v>
      </c>
      <c r="J5" s="10" t="s">
        <v>155</v>
      </c>
      <c r="K5" s="10" t="s">
        <v>156</v>
      </c>
    </row>
    <row r="6" customFormat="false" ht="35.05" hidden="false" customHeight="false" outlineLevel="0" collapsed="false">
      <c r="A6" s="11" t="s">
        <v>49</v>
      </c>
      <c r="B6" s="11" t="s">
        <v>157</v>
      </c>
      <c r="C6" s="11" t="s">
        <v>158</v>
      </c>
      <c r="D6" s="11" t="s">
        <v>159</v>
      </c>
      <c r="E6" s="11" t="s">
        <v>160</v>
      </c>
      <c r="F6" s="11" t="s">
        <v>161</v>
      </c>
      <c r="G6" s="11" t="s">
        <v>162</v>
      </c>
      <c r="H6" s="11" t="s">
        <v>163</v>
      </c>
      <c r="I6" s="11" t="s">
        <v>164</v>
      </c>
      <c r="J6" s="11" t="s">
        <v>165</v>
      </c>
      <c r="K6" s="11" t="n">
        <v>1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</sheetData>
  <dataValidations count="3">
    <dataValidation allowBlank="true" errorStyle="stop" operator="between" showDropDown="false" showErrorMessage="false" showInputMessage="false" sqref="B6:B36" type="list">
      <formula1>Lists!$H$2:$H$12</formula1>
      <formula2>0</formula2>
    </dataValidation>
    <dataValidation allowBlank="true" errorStyle="stop" operator="between" showDropDown="false" showErrorMessage="false" showInputMessage="false" sqref="H6:H36" type="list">
      <formula1>Lists!$I$2:$I$7</formula1>
      <formula2>0</formula2>
    </dataValidation>
    <dataValidation allowBlank="true" errorStyle="stop" operator="between" showDropDown="false" showErrorMessage="false" showInputMessage="false" sqref="J6:J36" type="list">
      <formula1>Lists!$J$2:$J$4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7" min="6" style="0" width="16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8" t="s">
        <v>21</v>
      </c>
    </row>
    <row r="2" customFormat="false" ht="15" hidden="false" customHeight="false" outlineLevel="0" collapsed="false">
      <c r="A2" s="2" t="s">
        <v>166</v>
      </c>
    </row>
    <row r="3" customFormat="false" ht="15" hidden="false" customHeight="false" outlineLevel="0" collapsed="false">
      <c r="A3" s="9" t="s">
        <v>167</v>
      </c>
    </row>
    <row r="5" customFormat="false" ht="42" hidden="false" customHeight="true" outlineLevel="0" collapsed="false">
      <c r="A5" s="10" t="s">
        <v>168</v>
      </c>
      <c r="B5" s="10" t="s">
        <v>169</v>
      </c>
      <c r="C5" s="10" t="s">
        <v>170</v>
      </c>
      <c r="D5" s="10" t="s">
        <v>154</v>
      </c>
      <c r="E5" s="10" t="s">
        <v>171</v>
      </c>
      <c r="F5" s="10" t="s">
        <v>172</v>
      </c>
      <c r="G5" s="10" t="s">
        <v>173</v>
      </c>
      <c r="H5" s="10" t="s">
        <v>174</v>
      </c>
      <c r="I5" s="10" t="s">
        <v>37</v>
      </c>
      <c r="J5" s="10" t="s">
        <v>175</v>
      </c>
    </row>
    <row r="6" customFormat="false" ht="23.85" hidden="false" customHeight="false" outlineLevel="0" collapsed="false">
      <c r="A6" s="11" t="n">
        <v>1</v>
      </c>
      <c r="B6" s="11" t="s">
        <v>176</v>
      </c>
      <c r="C6" s="11" t="s">
        <v>177</v>
      </c>
      <c r="D6" s="11" t="n">
        <v>146</v>
      </c>
      <c r="E6" s="11" t="s">
        <v>178</v>
      </c>
      <c r="F6" s="11" t="s">
        <v>179</v>
      </c>
      <c r="G6" s="11" t="s">
        <v>180</v>
      </c>
      <c r="H6" s="11" t="s">
        <v>181</v>
      </c>
      <c r="I6" s="11"/>
      <c r="J6" s="11" t="s">
        <v>50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8" t="s">
        <v>182</v>
      </c>
    </row>
    <row r="2" customFormat="false" ht="15" hidden="false" customHeight="false" outlineLevel="0" collapsed="false">
      <c r="A2" s="2" t="s">
        <v>183</v>
      </c>
    </row>
    <row r="3" customFormat="false" ht="15" hidden="false" customHeight="false" outlineLevel="0" collapsed="false">
      <c r="A3" s="9" t="s">
        <v>184</v>
      </c>
    </row>
    <row r="5" customFormat="false" ht="42" hidden="false" customHeight="true" outlineLevel="0" collapsed="false">
      <c r="A5" s="10" t="s">
        <v>185</v>
      </c>
      <c r="B5" s="10" t="s">
        <v>186</v>
      </c>
      <c r="C5" s="10" t="s">
        <v>187</v>
      </c>
      <c r="D5" s="10" t="s">
        <v>188</v>
      </c>
      <c r="E5" s="10" t="s">
        <v>189</v>
      </c>
      <c r="F5" s="10" t="s">
        <v>190</v>
      </c>
      <c r="G5" s="10" t="s">
        <v>191</v>
      </c>
      <c r="H5" s="10" t="s">
        <v>192</v>
      </c>
      <c r="I5" s="10" t="s">
        <v>193</v>
      </c>
      <c r="J5" s="10" t="s">
        <v>194</v>
      </c>
    </row>
    <row r="6" customFormat="false" ht="35.05" hidden="false" customHeight="false" outlineLevel="0" collapsed="false">
      <c r="A6" s="11" t="s">
        <v>195</v>
      </c>
      <c r="B6" s="11" t="s">
        <v>196</v>
      </c>
      <c r="C6" s="11" t="s">
        <v>197</v>
      </c>
      <c r="D6" s="11" t="s">
        <v>198</v>
      </c>
      <c r="E6" s="11" t="s">
        <v>199</v>
      </c>
      <c r="F6" s="11" t="n">
        <v>34</v>
      </c>
      <c r="G6" s="11" t="n">
        <v>83</v>
      </c>
      <c r="H6" s="11" t="n">
        <f aca="false">IF(OR(F6="",G6=""),"",G6-F6)</f>
        <v>49</v>
      </c>
      <c r="I6" s="11" t="str">
        <f aca="false">IF(H6="","",IF(ABS(H6)&lt;=$C$39,"Reproduced",IF(ABS(H6)&lt;=$C$40,"Close","Not reproduced")))</f>
        <v>Not reproduced</v>
      </c>
      <c r="J6" s="11" t="s">
        <v>200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8" t="str">
        <f aca="false">IF(OR(F7="",G7=""),"",G7-F7)</f>
        <v/>
      </c>
      <c r="I7" s="18" t="str">
        <f aca="false">IF(H7="","",IF(ABS(H7)&lt;=$C$39,"Reproduced",IF(ABS(H7)&lt;=$C$40,"Close","Not reproduced")))</f>
        <v/>
      </c>
      <c r="J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8" t="str">
        <f aca="false">IF(OR(F8="",G8=""),"",G8-F8)</f>
        <v/>
      </c>
      <c r="I8" s="18" t="str">
        <f aca="false">IF(H8="","",IF(ABS(H8)&lt;=$C$39,"Reproduced",IF(ABS(H8)&lt;=$C$40,"Close","Not reproduced")))</f>
        <v/>
      </c>
      <c r="J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8" t="str">
        <f aca="false">IF(OR(F9="",G9=""),"",G9-F9)</f>
        <v/>
      </c>
      <c r="I9" s="18" t="str">
        <f aca="false">IF(H9="","",IF(ABS(H9)&lt;=$C$39,"Reproduced",IF(ABS(H9)&lt;=$C$40,"Close","Not reproduced")))</f>
        <v/>
      </c>
      <c r="J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8" t="str">
        <f aca="false">IF(OR(F10="",G10=""),"",G10-F10)</f>
        <v/>
      </c>
      <c r="I10" s="18" t="str">
        <f aca="false">IF(H10="","",IF(ABS(H10)&lt;=$C$39,"Reproduced",IF(ABS(H10)&lt;=$C$40,"Close","Not reproduced")))</f>
        <v/>
      </c>
      <c r="J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8" t="str">
        <f aca="false">IF(OR(F11="",G11=""),"",G11-F11)</f>
        <v/>
      </c>
      <c r="I11" s="18" t="str">
        <f aca="false">IF(H11="","",IF(ABS(H11)&lt;=$C$39,"Reproduced",IF(ABS(H11)&lt;=$C$40,"Close","Not reproduced")))</f>
        <v/>
      </c>
      <c r="J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8" t="str">
        <f aca="false">IF(OR(F12="",G12=""),"",G12-F12)</f>
        <v/>
      </c>
      <c r="I12" s="18" t="str">
        <f aca="false">IF(H12="","",IF(ABS(H12)&lt;=$C$39,"Reproduced",IF(ABS(H12)&lt;=$C$40,"Close","Not reproduced")))</f>
        <v/>
      </c>
      <c r="J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8" t="str">
        <f aca="false">IF(OR(F13="",G13=""),"",G13-F13)</f>
        <v/>
      </c>
      <c r="I13" s="18" t="str">
        <f aca="false">IF(H13="","",IF(ABS(H13)&lt;=$C$39,"Reproduced",IF(ABS(H13)&lt;=$C$40,"Close","Not reproduced")))</f>
        <v/>
      </c>
      <c r="J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8" t="str">
        <f aca="false">IF(OR(F14="",G14=""),"",G14-F14)</f>
        <v/>
      </c>
      <c r="I14" s="18" t="str">
        <f aca="false">IF(H14="","",IF(ABS(H14)&lt;=$C$39,"Reproduced",IF(ABS(H14)&lt;=$C$40,"Close","Not reproduced")))</f>
        <v/>
      </c>
      <c r="J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8" t="str">
        <f aca="false">IF(OR(F15="",G15=""),"",G15-F15)</f>
        <v/>
      </c>
      <c r="I15" s="18" t="str">
        <f aca="false">IF(H15="","",IF(ABS(H15)&lt;=$C$39,"Reproduced",IF(ABS(H15)&lt;=$C$40,"Close","Not reproduced")))</f>
        <v/>
      </c>
      <c r="J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8" t="str">
        <f aca="false">IF(OR(F16="",G16=""),"",G16-F16)</f>
        <v/>
      </c>
      <c r="I16" s="18" t="str">
        <f aca="false">IF(H16="","",IF(ABS(H16)&lt;=$C$39,"Reproduced",IF(ABS(H16)&lt;=$C$40,"Close","Not reproduced")))</f>
        <v/>
      </c>
      <c r="J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8" t="str">
        <f aca="false">IF(OR(F17="",G17=""),"",G17-F17)</f>
        <v/>
      </c>
      <c r="I17" s="18" t="str">
        <f aca="false">IF(H17="","",IF(ABS(H17)&lt;=$C$39,"Reproduced",IF(ABS(H17)&lt;=$C$40,"Close","Not reproduced")))</f>
        <v/>
      </c>
      <c r="J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8" t="str">
        <f aca="false">IF(OR(F18="",G18=""),"",G18-F18)</f>
        <v/>
      </c>
      <c r="I18" s="18" t="str">
        <f aca="false">IF(H18="","",IF(ABS(H18)&lt;=$C$39,"Reproduced",IF(ABS(H18)&lt;=$C$40,"Close","Not reproduced")))</f>
        <v/>
      </c>
      <c r="J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8" t="str">
        <f aca="false">IF(OR(F19="",G19=""),"",G19-F19)</f>
        <v/>
      </c>
      <c r="I19" s="18" t="str">
        <f aca="false">IF(H19="","",IF(ABS(H19)&lt;=$C$39,"Reproduced",IF(ABS(H19)&lt;=$C$40,"Close","Not reproduced")))</f>
        <v/>
      </c>
      <c r="J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8" t="str">
        <f aca="false">IF(OR(F20="",G20=""),"",G20-F20)</f>
        <v/>
      </c>
      <c r="I20" s="18" t="str">
        <f aca="false">IF(H20="","",IF(ABS(H20)&lt;=$C$39,"Reproduced",IF(ABS(H20)&lt;=$C$40,"Close","Not reproduced")))</f>
        <v/>
      </c>
      <c r="J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8" t="str">
        <f aca="false">IF(OR(F21="",G21=""),"",G21-F21)</f>
        <v/>
      </c>
      <c r="I21" s="18" t="str">
        <f aca="false">IF(H21="","",IF(ABS(H21)&lt;=$C$39,"Reproduced",IF(ABS(H21)&lt;=$C$40,"Close","Not reproduced")))</f>
        <v/>
      </c>
      <c r="J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8" t="str">
        <f aca="false">IF(OR(F22="",G22=""),"",G22-F22)</f>
        <v/>
      </c>
      <c r="I22" s="18" t="str">
        <f aca="false">IF(H22="","",IF(ABS(H22)&lt;=$C$39,"Reproduced",IF(ABS(H22)&lt;=$C$40,"Close","Not reproduced")))</f>
        <v/>
      </c>
      <c r="J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8" t="str">
        <f aca="false">IF(OR(F23="",G23=""),"",G23-F23)</f>
        <v/>
      </c>
      <c r="I23" s="18" t="str">
        <f aca="false">IF(H23="","",IF(ABS(H23)&lt;=$C$39,"Reproduced",IF(ABS(H23)&lt;=$C$40,"Close","Not reproduced")))</f>
        <v/>
      </c>
      <c r="J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8" t="str">
        <f aca="false">IF(OR(F24="",G24=""),"",G24-F24)</f>
        <v/>
      </c>
      <c r="I24" s="18" t="str">
        <f aca="false">IF(H24="","",IF(ABS(H24)&lt;=$C$39,"Reproduced",IF(ABS(H24)&lt;=$C$40,"Close","Not reproduced")))</f>
        <v/>
      </c>
      <c r="J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8" t="str">
        <f aca="false">IF(OR(F25="",G25=""),"",G25-F25)</f>
        <v/>
      </c>
      <c r="I25" s="18" t="str">
        <f aca="false">IF(H25="","",IF(ABS(H25)&lt;=$C$39,"Reproduced",IF(ABS(H25)&lt;=$C$40,"Close","Not reproduced")))</f>
        <v/>
      </c>
      <c r="J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8" t="str">
        <f aca="false">IF(OR(F26="",G26=""),"",G26-F26)</f>
        <v/>
      </c>
      <c r="I26" s="18" t="str">
        <f aca="false">IF(H26="","",IF(ABS(H26)&lt;=$C$39,"Reproduced",IF(ABS(H26)&lt;=$C$40,"Close","Not reproduced")))</f>
        <v/>
      </c>
      <c r="J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8" t="str">
        <f aca="false">IF(OR(F27="",G27=""),"",G27-F27)</f>
        <v/>
      </c>
      <c r="I27" s="18" t="str">
        <f aca="false">IF(H27="","",IF(ABS(H27)&lt;=$C$39,"Reproduced",IF(ABS(H27)&lt;=$C$40,"Close","Not reproduced")))</f>
        <v/>
      </c>
      <c r="J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8" t="str">
        <f aca="false">IF(OR(F28="",G28=""),"",G28-F28)</f>
        <v/>
      </c>
      <c r="I28" s="18" t="str">
        <f aca="false">IF(H28="","",IF(ABS(H28)&lt;=$C$39,"Reproduced",IF(ABS(H28)&lt;=$C$40,"Close","Not reproduced")))</f>
        <v/>
      </c>
      <c r="J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8" t="str">
        <f aca="false">IF(OR(F29="",G29=""),"",G29-F29)</f>
        <v/>
      </c>
      <c r="I29" s="18" t="str">
        <f aca="false">IF(H29="","",IF(ABS(H29)&lt;=$C$39,"Reproduced",IF(ABS(H29)&lt;=$C$40,"Close","Not reproduced")))</f>
        <v/>
      </c>
      <c r="J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8" t="str">
        <f aca="false">IF(OR(F30="",G30=""),"",G30-F30)</f>
        <v/>
      </c>
      <c r="I30" s="18" t="str">
        <f aca="false">IF(H30="","",IF(ABS(H30)&lt;=$C$39,"Reproduced",IF(ABS(H30)&lt;=$C$40,"Close","Not reproduced")))</f>
        <v/>
      </c>
      <c r="J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8" t="str">
        <f aca="false">IF(OR(F31="",G31=""),"",G31-F31)</f>
        <v/>
      </c>
      <c r="I31" s="18" t="str">
        <f aca="false">IF(H31="","",IF(ABS(H31)&lt;=$C$39,"Reproduced",IF(ABS(H31)&lt;=$C$40,"Close","Not reproduced")))</f>
        <v/>
      </c>
      <c r="J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8" t="str">
        <f aca="false">IF(OR(F32="",G32=""),"",G32-F32)</f>
        <v/>
      </c>
      <c r="I32" s="18" t="str">
        <f aca="false">IF(H32="","",IF(ABS(H32)&lt;=$C$39,"Reproduced",IF(ABS(H32)&lt;=$C$40,"Close","Not reproduced")))</f>
        <v/>
      </c>
      <c r="J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8" t="str">
        <f aca="false">IF(OR(F33="",G33=""),"",G33-F33)</f>
        <v/>
      </c>
      <c r="I33" s="18" t="str">
        <f aca="false">IF(H33="","",IF(ABS(H33)&lt;=$C$39,"Reproduced",IF(ABS(H33)&lt;=$C$40,"Close","Not reproduced")))</f>
        <v/>
      </c>
      <c r="J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8" t="str">
        <f aca="false">IF(OR(F34="",G34=""),"",G34-F34)</f>
        <v/>
      </c>
      <c r="I34" s="18" t="str">
        <f aca="false">IF(H34="","",IF(ABS(H34)&lt;=$C$39,"Reproduced",IF(ABS(H34)&lt;=$C$40,"Close","Not reproduced")))</f>
        <v/>
      </c>
      <c r="J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8" t="str">
        <f aca="false">IF(OR(F35="",G35=""),"",G35-F35)</f>
        <v/>
      </c>
      <c r="I35" s="18" t="str">
        <f aca="false">IF(H35="","",IF(ABS(H35)&lt;=$C$39,"Reproduced",IF(ABS(H35)&lt;=$C$40,"Close","Not reproduced")))</f>
        <v/>
      </c>
      <c r="J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8" t="str">
        <f aca="false">IF(OR(F36="",G36=""),"",G36-F36)</f>
        <v/>
      </c>
      <c r="I36" s="18" t="str">
        <f aca="false">IF(H36="","",IF(ABS(H36)&lt;=$C$39,"Reproduced",IF(ABS(H36)&lt;=$C$40,"Close","Not reproduced")))</f>
        <v/>
      </c>
      <c r="J36" s="12"/>
    </row>
    <row r="38" customFormat="false" ht="15" hidden="false" customHeight="false" outlineLevel="0" collapsed="false">
      <c r="B38" s="3" t="s">
        <v>201</v>
      </c>
    </row>
    <row r="39" customFormat="false" ht="15" hidden="false" customHeight="false" outlineLevel="0" collapsed="false">
      <c r="B39" s="0" t="s">
        <v>202</v>
      </c>
      <c r="C39" s="19" t="n">
        <v>2</v>
      </c>
    </row>
    <row r="40" customFormat="false" ht="15" hidden="false" customHeight="false" outlineLevel="0" collapsed="false">
      <c r="B40" s="0" t="s">
        <v>203</v>
      </c>
      <c r="C40" s="19" t="n">
        <v>5</v>
      </c>
    </row>
    <row r="42" customFormat="false" ht="15" hidden="false" customHeight="false" outlineLevel="0" collapsed="false">
      <c r="B42" s="3" t="s">
        <v>204</v>
      </c>
    </row>
    <row r="43" customFormat="false" ht="15" hidden="false" customHeight="false" outlineLevel="0" collapsed="false">
      <c r="B43" s="0" t="s">
        <v>205</v>
      </c>
      <c r="C43" s="0" t="n">
        <f aca="false">COUNTIF($I$6:$I$36,B43)</f>
        <v>0</v>
      </c>
    </row>
    <row r="44" customFormat="false" ht="15" hidden="false" customHeight="false" outlineLevel="0" collapsed="false">
      <c r="B44" s="0" t="s">
        <v>206</v>
      </c>
      <c r="C44" s="0" t="n">
        <f aca="false">COUNTIF($I$6:$I$36,B44)</f>
        <v>0</v>
      </c>
    </row>
    <row r="45" customFormat="false" ht="15" hidden="false" customHeight="false" outlineLevel="0" collapsed="false">
      <c r="B45" s="0" t="s">
        <v>207</v>
      </c>
      <c r="C45" s="0" t="n">
        <f aca="false">COUNTIF($I$6:$I$36,B45)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8" t="s">
        <v>25</v>
      </c>
    </row>
    <row r="2" customFormat="false" ht="15" hidden="false" customHeight="false" outlineLevel="0" collapsed="false">
      <c r="A2" s="2" t="s">
        <v>208</v>
      </c>
    </row>
    <row r="3" customFormat="false" ht="15" hidden="false" customHeight="false" outlineLevel="0" collapsed="false">
      <c r="A3" s="9" t="s">
        <v>209</v>
      </c>
    </row>
    <row r="5" customFormat="false" ht="42" hidden="false" customHeight="true" outlineLevel="0" collapsed="false">
      <c r="A5" s="10" t="s">
        <v>148</v>
      </c>
      <c r="B5" s="10" t="s">
        <v>210</v>
      </c>
      <c r="C5" s="10" t="s">
        <v>211</v>
      </c>
      <c r="D5" s="10" t="s">
        <v>212</v>
      </c>
      <c r="E5" s="10" t="s">
        <v>213</v>
      </c>
      <c r="F5" s="10" t="s">
        <v>153</v>
      </c>
      <c r="G5" s="10" t="s">
        <v>214</v>
      </c>
      <c r="H5" s="10" t="s">
        <v>215</v>
      </c>
    </row>
    <row r="6" customFormat="false" ht="46.25" hidden="false" customHeight="false" outlineLevel="0" collapsed="false">
      <c r="A6" s="11" t="s">
        <v>216</v>
      </c>
      <c r="B6" s="11" t="s">
        <v>217</v>
      </c>
      <c r="C6" s="11" t="s">
        <v>218</v>
      </c>
      <c r="D6" s="11" t="s">
        <v>219</v>
      </c>
      <c r="E6" s="11" t="s">
        <v>220</v>
      </c>
      <c r="F6" s="11" t="s">
        <v>221</v>
      </c>
      <c r="G6" s="11" t="s">
        <v>222</v>
      </c>
      <c r="H6" s="11" t="s">
        <v>223</v>
      </c>
    </row>
    <row r="7" customFormat="false" ht="23.85" hidden="false" customHeight="false" outlineLevel="0" collapsed="false">
      <c r="A7" s="12" t="s">
        <v>224</v>
      </c>
      <c r="B7" s="12" t="s">
        <v>225</v>
      </c>
      <c r="C7" s="12" t="s">
        <v>226</v>
      </c>
      <c r="D7" s="12" t="s">
        <v>227</v>
      </c>
      <c r="E7" s="12"/>
      <c r="F7" s="12"/>
      <c r="G7" s="12"/>
      <c r="H7" s="12"/>
    </row>
    <row r="8" customFormat="false" ht="23.85" hidden="false" customHeight="false" outlineLevel="0" collapsed="false">
      <c r="A8" s="12" t="s">
        <v>228</v>
      </c>
      <c r="B8" s="12" t="s">
        <v>229</v>
      </c>
      <c r="C8" s="12" t="s">
        <v>230</v>
      </c>
      <c r="D8" s="12" t="s">
        <v>231</v>
      </c>
      <c r="E8" s="12"/>
      <c r="F8" s="12"/>
      <c r="G8" s="12"/>
      <c r="H8" s="12"/>
    </row>
    <row r="9" customFormat="false" ht="23.85" hidden="false" customHeight="false" outlineLevel="0" collapsed="false">
      <c r="A9" s="12" t="s">
        <v>232</v>
      </c>
      <c r="B9" s="12" t="s">
        <v>233</v>
      </c>
      <c r="C9" s="12" t="s">
        <v>234</v>
      </c>
      <c r="D9" s="12" t="s">
        <v>235</v>
      </c>
      <c r="E9" s="12"/>
      <c r="F9" s="12"/>
      <c r="G9" s="12"/>
      <c r="H9" s="12"/>
    </row>
    <row r="10" customFormat="false" ht="23.85" hidden="false" customHeight="false" outlineLevel="0" collapsed="false">
      <c r="A10" s="12" t="s">
        <v>236</v>
      </c>
      <c r="B10" s="12" t="s">
        <v>237</v>
      </c>
      <c r="C10" s="12" t="s">
        <v>238</v>
      </c>
      <c r="D10" s="12" t="s">
        <v>239</v>
      </c>
      <c r="E10" s="12"/>
      <c r="F10" s="12"/>
      <c r="G10" s="12"/>
      <c r="H10" s="12"/>
    </row>
    <row r="11" customFormat="false" ht="23.85" hidden="false" customHeight="false" outlineLevel="0" collapsed="false">
      <c r="A11" s="12" t="s">
        <v>240</v>
      </c>
      <c r="B11" s="12" t="s">
        <v>241</v>
      </c>
      <c r="C11" s="12" t="s">
        <v>242</v>
      </c>
      <c r="D11" s="12" t="s">
        <v>243</v>
      </c>
      <c r="E11" s="12"/>
      <c r="F11" s="12"/>
      <c r="G11" s="12"/>
      <c r="H11" s="12"/>
    </row>
    <row r="12" customFormat="false" ht="23.85" hidden="false" customHeight="false" outlineLevel="0" collapsed="false">
      <c r="A12" s="12" t="s">
        <v>244</v>
      </c>
      <c r="B12" s="12" t="s">
        <v>245</v>
      </c>
      <c r="C12" s="12" t="s">
        <v>246</v>
      </c>
      <c r="D12" s="12" t="s">
        <v>247</v>
      </c>
      <c r="E12" s="12"/>
      <c r="F12" s="12"/>
      <c r="G12" s="12"/>
      <c r="H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</row>
  </sheetData>
  <dataValidations count="1">
    <dataValidation allowBlank="true" errorStyle="stop" operator="between" showDropDown="false" showErrorMessage="false" showInputMessage="false" sqref="G6:G36" type="list">
      <formula1>Lists!$K$2:$K$4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44"/>
    <col collapsed="false" customWidth="true" hidden="false" outlineLevel="0" max="6" min="6" style="0" width="10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8" t="s">
        <v>248</v>
      </c>
    </row>
    <row r="2" customFormat="false" ht="15" hidden="false" customHeight="false" outlineLevel="0" collapsed="false">
      <c r="A2" s="2" t="s">
        <v>249</v>
      </c>
    </row>
    <row r="3" customFormat="false" ht="15" hidden="false" customHeight="false" outlineLevel="0" collapsed="false">
      <c r="A3" s="9" t="s">
        <v>250</v>
      </c>
    </row>
    <row r="5" customFormat="false" ht="42" hidden="false" customHeight="true" outlineLevel="0" collapsed="false">
      <c r="A5" s="10" t="s">
        <v>251</v>
      </c>
      <c r="B5" s="10" t="s">
        <v>252</v>
      </c>
      <c r="C5" s="10" t="s">
        <v>253</v>
      </c>
      <c r="D5" s="10" t="s">
        <v>254</v>
      </c>
      <c r="E5" s="10" t="s">
        <v>255</v>
      </c>
      <c r="F5" s="10" t="s">
        <v>256</v>
      </c>
      <c r="G5" s="10" t="s">
        <v>257</v>
      </c>
      <c r="H5" s="10" t="s">
        <v>258</v>
      </c>
      <c r="I5" s="10" t="s">
        <v>259</v>
      </c>
      <c r="J5" s="10" t="s">
        <v>260</v>
      </c>
      <c r="K5" s="10" t="s">
        <v>37</v>
      </c>
    </row>
    <row r="6" customFormat="false" ht="35.05" hidden="false" customHeight="false" outlineLevel="0" collapsed="false">
      <c r="A6" s="11" t="n">
        <v>1</v>
      </c>
      <c r="B6" s="11" t="s">
        <v>261</v>
      </c>
      <c r="C6" s="11" t="s">
        <v>262</v>
      </c>
      <c r="D6" s="11"/>
      <c r="E6" s="11" t="s">
        <v>263</v>
      </c>
      <c r="F6" s="11"/>
      <c r="G6" s="11"/>
      <c r="H6" s="11" t="str">
        <f aca="false">IF(OR(D6="",AND(F6="",G6="")),"",MAX(IF(F6="",0,ABS(F6-D6)),IF(G6="",0,ABS(G6-D6))))</f>
        <v/>
      </c>
      <c r="I6" s="11" t="str">
        <f aca="false">IF(H6="","",IF(H6&lt;=$C$39,"Match","Check"))</f>
        <v/>
      </c>
      <c r="J6" s="11"/>
      <c r="K6" s="11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8" t="str">
        <f aca="false">IF(OR(D7="",AND(F7="",G7="")),"",MAX(IF(F7="",0,ABS(F7-D7)),IF(G7="",0,ABS(G7-D7))))</f>
        <v/>
      </c>
      <c r="I7" s="18" t="str">
        <f aca="false">IF(H7="","",IF(H7&lt;=$C$39,"Match","Check"))</f>
        <v/>
      </c>
      <c r="J7" s="12"/>
      <c r="K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8" t="str">
        <f aca="false">IF(OR(D8="",AND(F8="",G8="")),"",MAX(IF(F8="",0,ABS(F8-D8)),IF(G8="",0,ABS(G8-D8))))</f>
        <v/>
      </c>
      <c r="I8" s="18" t="str">
        <f aca="false">IF(H8="","",IF(H8&lt;=$C$39,"Match","Check"))</f>
        <v/>
      </c>
      <c r="J8" s="12"/>
      <c r="K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8" t="str">
        <f aca="false">IF(OR(D9="",AND(F9="",G9="")),"",MAX(IF(F9="",0,ABS(F9-D9)),IF(G9="",0,ABS(G9-D9))))</f>
        <v/>
      </c>
      <c r="I9" s="18" t="str">
        <f aca="false">IF(H9="","",IF(H9&lt;=$C$39,"Match","Check"))</f>
        <v/>
      </c>
      <c r="J9" s="12"/>
      <c r="K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8" t="str">
        <f aca="false">IF(OR(D10="",AND(F10="",G10="")),"",MAX(IF(F10="",0,ABS(F10-D10)),IF(G10="",0,ABS(G10-D10))))</f>
        <v/>
      </c>
      <c r="I10" s="18" t="str">
        <f aca="false">IF(H10="","",IF(H10&lt;=$C$39,"Match","Check"))</f>
        <v/>
      </c>
      <c r="J10" s="12"/>
      <c r="K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8" t="str">
        <f aca="false">IF(OR(D11="",AND(F11="",G11="")),"",MAX(IF(F11="",0,ABS(F11-D11)),IF(G11="",0,ABS(G11-D11))))</f>
        <v/>
      </c>
      <c r="I11" s="18" t="str">
        <f aca="false">IF(H11="","",IF(H11&lt;=$C$39,"Match","Check"))</f>
        <v/>
      </c>
      <c r="J11" s="12"/>
      <c r="K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8" t="str">
        <f aca="false">IF(OR(D12="",AND(F12="",G12="")),"",MAX(IF(F12="",0,ABS(F12-D12)),IF(G12="",0,ABS(G12-D12))))</f>
        <v/>
      </c>
      <c r="I12" s="18" t="str">
        <f aca="false">IF(H12="","",IF(H12&lt;=$C$39,"Match","Check"))</f>
        <v/>
      </c>
      <c r="J12" s="12"/>
      <c r="K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8" t="str">
        <f aca="false">IF(OR(D13="",AND(F13="",G13="")),"",MAX(IF(F13="",0,ABS(F13-D13)),IF(G13="",0,ABS(G13-D13))))</f>
        <v/>
      </c>
      <c r="I13" s="18" t="str">
        <f aca="false">IF(H13="","",IF(H13&lt;=$C$39,"Match","Check"))</f>
        <v/>
      </c>
      <c r="J13" s="12"/>
      <c r="K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8" t="str">
        <f aca="false">IF(OR(D14="",AND(F14="",G14="")),"",MAX(IF(F14="",0,ABS(F14-D14)),IF(G14="",0,ABS(G14-D14))))</f>
        <v/>
      </c>
      <c r="I14" s="18" t="str">
        <f aca="false">IF(H14="","",IF(H14&lt;=$C$39,"Match","Check"))</f>
        <v/>
      </c>
      <c r="J14" s="12"/>
      <c r="K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8" t="str">
        <f aca="false">IF(OR(D15="",AND(F15="",G15="")),"",MAX(IF(F15="",0,ABS(F15-D15)),IF(G15="",0,ABS(G15-D15))))</f>
        <v/>
      </c>
      <c r="I15" s="18" t="str">
        <f aca="false">IF(H15="","",IF(H15&lt;=$C$39,"Match","Check"))</f>
        <v/>
      </c>
      <c r="J15" s="12"/>
      <c r="K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8" t="str">
        <f aca="false">IF(OR(D16="",AND(F16="",G16="")),"",MAX(IF(F16="",0,ABS(F16-D16)),IF(G16="",0,ABS(G16-D16))))</f>
        <v/>
      </c>
      <c r="I16" s="18" t="str">
        <f aca="false">IF(H16="","",IF(H16&lt;=$C$39,"Match","Check"))</f>
        <v/>
      </c>
      <c r="J16" s="12"/>
      <c r="K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8" t="str">
        <f aca="false">IF(OR(D17="",AND(F17="",G17="")),"",MAX(IF(F17="",0,ABS(F17-D17)),IF(G17="",0,ABS(G17-D17))))</f>
        <v/>
      </c>
      <c r="I17" s="18" t="str">
        <f aca="false">IF(H17="","",IF(H17&lt;=$C$39,"Match","Check"))</f>
        <v/>
      </c>
      <c r="J17" s="12"/>
      <c r="K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8" t="str">
        <f aca="false">IF(OR(D18="",AND(F18="",G18="")),"",MAX(IF(F18="",0,ABS(F18-D18)),IF(G18="",0,ABS(G18-D18))))</f>
        <v/>
      </c>
      <c r="I18" s="18" t="str">
        <f aca="false">IF(H18="","",IF(H18&lt;=$C$39,"Match","Check"))</f>
        <v/>
      </c>
      <c r="J18" s="12"/>
      <c r="K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8" t="str">
        <f aca="false">IF(OR(D19="",AND(F19="",G19="")),"",MAX(IF(F19="",0,ABS(F19-D19)),IF(G19="",0,ABS(G19-D19))))</f>
        <v/>
      </c>
      <c r="I19" s="18" t="str">
        <f aca="false">IF(H19="","",IF(H19&lt;=$C$39,"Match","Check"))</f>
        <v/>
      </c>
      <c r="J19" s="12"/>
      <c r="K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8" t="str">
        <f aca="false">IF(OR(D20="",AND(F20="",G20="")),"",MAX(IF(F20="",0,ABS(F20-D20)),IF(G20="",0,ABS(G20-D20))))</f>
        <v/>
      </c>
      <c r="I20" s="18" t="str">
        <f aca="false">IF(H20="","",IF(H20&lt;=$C$39,"Match","Check"))</f>
        <v/>
      </c>
      <c r="J20" s="12"/>
      <c r="K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8" t="str">
        <f aca="false">IF(OR(D21="",AND(F21="",G21="")),"",MAX(IF(F21="",0,ABS(F21-D21)),IF(G21="",0,ABS(G21-D21))))</f>
        <v/>
      </c>
      <c r="I21" s="18" t="str">
        <f aca="false">IF(H21="","",IF(H21&lt;=$C$39,"Match","Check"))</f>
        <v/>
      </c>
      <c r="J21" s="12"/>
      <c r="K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8" t="str">
        <f aca="false">IF(OR(D22="",AND(F22="",G22="")),"",MAX(IF(F22="",0,ABS(F22-D22)),IF(G22="",0,ABS(G22-D22))))</f>
        <v/>
      </c>
      <c r="I22" s="18" t="str">
        <f aca="false">IF(H22="","",IF(H22&lt;=$C$39,"Match","Check"))</f>
        <v/>
      </c>
      <c r="J22" s="12"/>
      <c r="K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8" t="str">
        <f aca="false">IF(OR(D23="",AND(F23="",G23="")),"",MAX(IF(F23="",0,ABS(F23-D23)),IF(G23="",0,ABS(G23-D23))))</f>
        <v/>
      </c>
      <c r="I23" s="18" t="str">
        <f aca="false">IF(H23="","",IF(H23&lt;=$C$39,"Match","Check"))</f>
        <v/>
      </c>
      <c r="J23" s="12"/>
      <c r="K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8" t="str">
        <f aca="false">IF(OR(D24="",AND(F24="",G24="")),"",MAX(IF(F24="",0,ABS(F24-D24)),IF(G24="",0,ABS(G24-D24))))</f>
        <v/>
      </c>
      <c r="I24" s="18" t="str">
        <f aca="false">IF(H24="","",IF(H24&lt;=$C$39,"Match","Check"))</f>
        <v/>
      </c>
      <c r="J24" s="12"/>
      <c r="K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8" t="str">
        <f aca="false">IF(OR(D25="",AND(F25="",G25="")),"",MAX(IF(F25="",0,ABS(F25-D25)),IF(G25="",0,ABS(G25-D25))))</f>
        <v/>
      </c>
      <c r="I25" s="18" t="str">
        <f aca="false">IF(H25="","",IF(H25&lt;=$C$39,"Match","Check"))</f>
        <v/>
      </c>
      <c r="J25" s="12"/>
      <c r="K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8" t="str">
        <f aca="false">IF(OR(D26="",AND(F26="",G26="")),"",MAX(IF(F26="",0,ABS(F26-D26)),IF(G26="",0,ABS(G26-D26))))</f>
        <v/>
      </c>
      <c r="I26" s="18" t="str">
        <f aca="false">IF(H26="","",IF(H26&lt;=$C$39,"Match","Check"))</f>
        <v/>
      </c>
      <c r="J26" s="12"/>
      <c r="K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8" t="str">
        <f aca="false">IF(OR(D27="",AND(F27="",G27="")),"",MAX(IF(F27="",0,ABS(F27-D27)),IF(G27="",0,ABS(G27-D27))))</f>
        <v/>
      </c>
      <c r="I27" s="18" t="str">
        <f aca="false">IF(H27="","",IF(H27&lt;=$C$39,"Match","Check"))</f>
        <v/>
      </c>
      <c r="J27" s="12"/>
      <c r="K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8" t="str">
        <f aca="false">IF(OR(D28="",AND(F28="",G28="")),"",MAX(IF(F28="",0,ABS(F28-D28)),IF(G28="",0,ABS(G28-D28))))</f>
        <v/>
      </c>
      <c r="I28" s="18" t="str">
        <f aca="false">IF(H28="","",IF(H28&lt;=$C$39,"Match","Check"))</f>
        <v/>
      </c>
      <c r="J28" s="12"/>
      <c r="K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8" t="str">
        <f aca="false">IF(OR(D29="",AND(F29="",G29="")),"",MAX(IF(F29="",0,ABS(F29-D29)),IF(G29="",0,ABS(G29-D29))))</f>
        <v/>
      </c>
      <c r="I29" s="18" t="str">
        <f aca="false">IF(H29="","",IF(H29&lt;=$C$39,"Match","Check"))</f>
        <v/>
      </c>
      <c r="J29" s="12"/>
      <c r="K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8" t="str">
        <f aca="false">IF(OR(D30="",AND(F30="",G30="")),"",MAX(IF(F30="",0,ABS(F30-D30)),IF(G30="",0,ABS(G30-D30))))</f>
        <v/>
      </c>
      <c r="I30" s="18" t="str">
        <f aca="false">IF(H30="","",IF(H30&lt;=$C$39,"Match","Check"))</f>
        <v/>
      </c>
      <c r="J30" s="12"/>
      <c r="K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8" t="str">
        <f aca="false">IF(OR(D31="",AND(F31="",G31="")),"",MAX(IF(F31="",0,ABS(F31-D31)),IF(G31="",0,ABS(G31-D31))))</f>
        <v/>
      </c>
      <c r="I31" s="18" t="str">
        <f aca="false">IF(H31="","",IF(H31&lt;=$C$39,"Match","Check"))</f>
        <v/>
      </c>
      <c r="J31" s="12"/>
      <c r="K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8" t="str">
        <f aca="false">IF(OR(D32="",AND(F32="",G32="")),"",MAX(IF(F32="",0,ABS(F32-D32)),IF(G32="",0,ABS(G32-D32))))</f>
        <v/>
      </c>
      <c r="I32" s="18" t="str">
        <f aca="false">IF(H32="","",IF(H32&lt;=$C$39,"Match","Check"))</f>
        <v/>
      </c>
      <c r="J32" s="12"/>
      <c r="K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8" t="str">
        <f aca="false">IF(OR(D33="",AND(F33="",G33="")),"",MAX(IF(F33="",0,ABS(F33-D33)),IF(G33="",0,ABS(G33-D33))))</f>
        <v/>
      </c>
      <c r="I33" s="18" t="str">
        <f aca="false">IF(H33="","",IF(H33&lt;=$C$39,"Match","Check"))</f>
        <v/>
      </c>
      <c r="J33" s="12"/>
      <c r="K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8" t="str">
        <f aca="false">IF(OR(D34="",AND(F34="",G34="")),"",MAX(IF(F34="",0,ABS(F34-D34)),IF(G34="",0,ABS(G34-D34))))</f>
        <v/>
      </c>
      <c r="I34" s="18" t="str">
        <f aca="false">IF(H34="","",IF(H34&lt;=$C$39,"Match","Check"))</f>
        <v/>
      </c>
      <c r="J34" s="12"/>
      <c r="K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8" t="str">
        <f aca="false">IF(OR(D35="",AND(F35="",G35="")),"",MAX(IF(F35="",0,ABS(F35-D35)),IF(G35="",0,ABS(G35-D35))))</f>
        <v/>
      </c>
      <c r="I35" s="18" t="str">
        <f aca="false">IF(H35="","",IF(H35&lt;=$C$39,"Match","Check"))</f>
        <v/>
      </c>
      <c r="J35" s="12"/>
      <c r="K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8" t="str">
        <f aca="false">IF(OR(D36="",AND(F36="",G36="")),"",MAX(IF(F36="",0,ABS(F36-D36)),IF(G36="",0,ABS(G36-D36))))</f>
        <v/>
      </c>
      <c r="I36" s="18" t="str">
        <f aca="false">IF(H36="","",IF(H36&lt;=$C$39,"Match","Check"))</f>
        <v/>
      </c>
      <c r="J36" s="12"/>
      <c r="K36" s="12"/>
    </row>
    <row r="38" customFormat="false" ht="15" hidden="false" customHeight="false" outlineLevel="0" collapsed="false">
      <c r="B38" s="3" t="s">
        <v>264</v>
      </c>
    </row>
    <row r="39" customFormat="false" ht="15" hidden="false" customHeight="false" outlineLevel="0" collapsed="false">
      <c r="B39" s="0" t="s">
        <v>265</v>
      </c>
      <c r="C39" s="19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4"/>
  </cols>
  <sheetData>
    <row r="1" customFormat="false" ht="15" hidden="false" customHeight="false" outlineLevel="0" collapsed="false">
      <c r="A1" s="20" t="s">
        <v>38</v>
      </c>
      <c r="B1" s="20" t="s">
        <v>67</v>
      </c>
      <c r="C1" s="20" t="s">
        <v>68</v>
      </c>
      <c r="D1" s="20" t="s">
        <v>71</v>
      </c>
      <c r="E1" s="20" t="s">
        <v>72</v>
      </c>
      <c r="F1" s="20" t="s">
        <v>74</v>
      </c>
      <c r="G1" s="20" t="s">
        <v>85</v>
      </c>
      <c r="H1" s="20" t="s">
        <v>149</v>
      </c>
      <c r="I1" s="20" t="s">
        <v>39</v>
      </c>
      <c r="J1" s="20" t="s">
        <v>155</v>
      </c>
      <c r="K1" s="20" t="s">
        <v>214</v>
      </c>
    </row>
    <row r="2" customFormat="false" ht="15" hidden="false" customHeight="false" outlineLevel="0" collapsed="false">
      <c r="A2" s="21" t="s">
        <v>266</v>
      </c>
      <c r="B2" s="21" t="s">
        <v>97</v>
      </c>
      <c r="C2" s="21" t="s">
        <v>98</v>
      </c>
      <c r="D2" s="21" t="s">
        <v>101</v>
      </c>
      <c r="E2" s="21" t="s">
        <v>267</v>
      </c>
      <c r="F2" s="21" t="s">
        <v>268</v>
      </c>
      <c r="G2" s="21" t="s">
        <v>269</v>
      </c>
      <c r="H2" s="21" t="s">
        <v>270</v>
      </c>
      <c r="I2" s="21" t="s">
        <v>271</v>
      </c>
      <c r="J2" s="21" t="s">
        <v>268</v>
      </c>
      <c r="K2" s="21" t="s">
        <v>269</v>
      </c>
    </row>
    <row r="3" customFormat="false" ht="15" hidden="false" customHeight="false" outlineLevel="0" collapsed="false">
      <c r="A3" s="21" t="s">
        <v>272</v>
      </c>
      <c r="B3" s="21" t="s">
        <v>273</v>
      </c>
      <c r="C3" s="21" t="s">
        <v>274</v>
      </c>
      <c r="D3" s="21" t="s">
        <v>275</v>
      </c>
      <c r="E3" s="21" t="s">
        <v>102</v>
      </c>
      <c r="F3" s="21" t="s">
        <v>104</v>
      </c>
      <c r="G3" s="21" t="s">
        <v>276</v>
      </c>
      <c r="H3" s="21" t="s">
        <v>277</v>
      </c>
      <c r="I3" s="21" t="s">
        <v>163</v>
      </c>
      <c r="J3" s="21" t="s">
        <v>165</v>
      </c>
      <c r="K3" s="21" t="s">
        <v>222</v>
      </c>
    </row>
    <row r="4" customFormat="false" ht="15" hidden="false" customHeight="false" outlineLevel="0" collapsed="false">
      <c r="A4" s="21" t="s">
        <v>45</v>
      </c>
      <c r="D4" s="21" t="s">
        <v>278</v>
      </c>
      <c r="E4" s="21" t="s">
        <v>279</v>
      </c>
      <c r="G4" s="21" t="s">
        <v>222</v>
      </c>
      <c r="H4" s="21" t="s">
        <v>280</v>
      </c>
      <c r="I4" s="21" t="s">
        <v>281</v>
      </c>
      <c r="J4" s="21" t="s">
        <v>282</v>
      </c>
      <c r="K4" s="21" t="s">
        <v>276</v>
      </c>
    </row>
    <row r="5" customFormat="false" ht="15" hidden="false" customHeight="false" outlineLevel="0" collapsed="false">
      <c r="A5" s="21" t="s">
        <v>283</v>
      </c>
      <c r="D5" s="21" t="s">
        <v>284</v>
      </c>
      <c r="H5" s="21" t="s">
        <v>285</v>
      </c>
      <c r="I5" s="21" t="s">
        <v>286</v>
      </c>
    </row>
    <row r="6" customFormat="false" ht="15" hidden="false" customHeight="false" outlineLevel="0" collapsed="false">
      <c r="A6" s="21" t="s">
        <v>287</v>
      </c>
      <c r="D6" s="21" t="s">
        <v>288</v>
      </c>
      <c r="H6" s="21" t="s">
        <v>289</v>
      </c>
      <c r="I6" s="21" t="s">
        <v>290</v>
      </c>
    </row>
    <row r="7" customFormat="false" ht="15" hidden="false" customHeight="false" outlineLevel="0" collapsed="false">
      <c r="A7" s="21" t="s">
        <v>291</v>
      </c>
      <c r="D7" s="21" t="s">
        <v>292</v>
      </c>
      <c r="H7" s="21" t="s">
        <v>293</v>
      </c>
      <c r="I7" s="21" t="s">
        <v>294</v>
      </c>
    </row>
    <row r="8" customFormat="false" ht="15" hidden="false" customHeight="false" outlineLevel="0" collapsed="false">
      <c r="A8" s="21" t="s">
        <v>295</v>
      </c>
      <c r="H8" s="21" t="s">
        <v>296</v>
      </c>
    </row>
    <row r="9" customFormat="false" ht="15" hidden="false" customHeight="false" outlineLevel="0" collapsed="false">
      <c r="A9" s="21" t="s">
        <v>297</v>
      </c>
      <c r="H9" s="21" t="s">
        <v>298</v>
      </c>
    </row>
    <row r="10" customFormat="false" ht="15" hidden="false" customHeight="false" outlineLevel="0" collapsed="false">
      <c r="A10" s="21" t="s">
        <v>299</v>
      </c>
      <c r="H10" s="21" t="s">
        <v>300</v>
      </c>
    </row>
    <row r="11" customFormat="false" ht="15" hidden="false" customHeight="false" outlineLevel="0" collapsed="false">
      <c r="H11" s="21" t="s">
        <v>301</v>
      </c>
    </row>
    <row r="12" customFormat="false" ht="15" hidden="false" customHeight="false" outlineLevel="0" collapsed="false">
      <c r="H12" s="21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2026-10-29T05:14:08Z</dcterms:created>
  <dc:creator>openpyxl</dc:creator>
  <dc:description/>
  <dc:language>en-US</dc:language>
  <cp:lastModifiedBy/>
  <dcterms:modified xsi:type="dcterms:W3CDTF">2026-10-29T05:14:08Z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